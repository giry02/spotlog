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18651cc3a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 일정" sheetId="1" r:id="Rb37121fc47af4816"/>
    <x:sheet xmlns:r="http://schemas.openxmlformats.org/officeDocument/2006/relationships" name="기능별 일정" sheetId="2" r:id="R2cac9ba6a2484513"/>
    <x:sheet xmlns:r="http://schemas.openxmlformats.org/officeDocument/2006/relationships" name="구현·완료 기준" sheetId="3" r:id="Rc40e57296a474417"/>
    <x:sheet xmlns:r="http://schemas.openxmlformats.org/officeDocument/2006/relationships" name="주간 일정" sheetId="4" r:id="Re10d741fa2be46bf"/>
    <x:sheet xmlns:r="http://schemas.openxmlformats.org/officeDocument/2006/relationships" name="휴일·출처" sheetId="5" r:id="R9a76278611414c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mm/dd"/>
    <x:numFmt numFmtId="203" formatCode=";;;"/>
  </x:numFmts>
  <x:fonts count="11">
    <x:font>
      <x:sz val="11"/>
      <x:name val="Carlito"/>
    </x:font>
    <x:font>
      <x:sz val="11"/>
      <x:color rgb="FF23313D"/>
      <x:name val="Arial"/>
    </x:font>
    <x:font>
      <x:sz val="21"/>
      <x:color rgb="FF23313D"/>
      <x:name val="Arial"/>
    </x:font>
    <x:font>
      <x:sz val="21"/>
      <x:color rgb="FFFFFFFF"/>
      <x:name val="Arial"/>
    </x:font>
    <x:font>
      <x:sz val="10"/>
      <x:color rgb="FF23313D"/>
      <x:name val="Arial"/>
    </x:font>
    <x:font>
      <x:sz val="10"/>
      <x:color rgb="FF586874"/>
      <x:name val="Arial"/>
    </x:font>
    <x:font>
      <x:b/>
      <x:sz val="11"/>
      <x:color rgb="FFFFFFFF"/>
      <x:name val="Arial"/>
    </x:font>
    <x:font>
      <x:sz val="11"/>
      <x:color rgb="FF1862A6"/>
      <x:name val="Arial"/>
    </x:font>
    <x:font>
      <x:sz val="11"/>
      <x:color rgb="FFFFFFFF"/>
      <x:name val="Arial"/>
    </x:font>
    <x:font>
      <x:sz val="19"/>
      <x:color rgb="FF23313D"/>
      <x:name val="Arial"/>
    </x:font>
    <x:font>
      <x:b/>
      <x:sz val="11"/>
      <x:color rgb="FF23313D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3313D"/>
      </x:patternFill>
    </x:fill>
    <x:fill>
      <x:patternFill patternType="solid">
        <x:fgColor rgb="FFF2F5F7"/>
      </x:patternFill>
    </x:fill>
    <x:fill>
      <x:patternFill patternType="solid">
        <x:fgColor rgb="FFFFFFFF"/>
      </x:patternFill>
    </x:fill>
    <x:fill>
      <x:patternFill patternType="solid">
        <x:fgColor rgb="FFDFEAF3"/>
      </x:patternFill>
    </x:fill>
    <x:fill>
      <x:patternFill patternType="solid">
        <x:fgColor rgb="FFF7E4DA"/>
      </x:patternFill>
    </x:fill>
    <x:fill>
      <x:patternFill patternType="solid">
        <x:fgColor rgb="FFDFEEE5"/>
      </x:patternFill>
    </x:fill>
    <x:fill>
      <x:patternFill patternType="solid">
        <x:fgColor rgb="FFEAF3FC"/>
      </x:patternFill>
    </x:fill>
  </x:fills>
  <x:borders count="2">
    <x:border/>
    <x:border>
      <x:bottom style="thin">
        <x:color rgb="FFDDE2E6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7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200" fontId="7" fillId="4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200" fontId="7" fillId="3" borderId="1" xfId="0" applyNumberFormat="1" applyFont="1" applyFill="1" applyBorder="1" applyAlignment="1">
      <x:alignment horizontal="center" vertical="center" wrapText="1"/>
    </x:xf>
    <x:xf numFmtId="200" fontId="7" fillId="4" borderId="1" xfId="0" applyNumberFormat="1" applyFont="1" applyFill="1" applyBorder="1" applyAlignment="1">
      <x:alignment horizontal="center" vertical="center" wrapText="1"/>
    </x:xf>
    <x:xf numFmtId="200" fontId="7" fillId="0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7" borderId="1" xfId="0" applyNumberFormat="1" applyFont="1" applyFill="1" applyBorder="1" applyAlignment="1">
      <x:alignment vertical="center" wrapText="1"/>
    </x:xf>
    <x:xf numFmtId="201" fontId="1" fillId="3" borderId="1" xfId="0" applyNumberFormat="1" applyFont="1" applyFill="1" applyBorder="1" applyAlignment="1">
      <x:alignment vertical="center" wrapText="1"/>
    </x:xf>
    <x:xf numFmtId="201" fontId="1" fillId="4" borderId="1" xfId="0" applyNumberFormat="1" applyFont="1" applyFill="1" applyBorder="1" applyAlignment="1">
      <x:alignment vertical="center" wrapText="1"/>
    </x:xf>
    <x:xf numFmtId="201" fontId="1" fillId="5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7" borderId="1" xfId="0" applyNumberFormat="1" applyFont="1" applyFill="1" applyBorder="1" applyAlignment="1">
      <x:alignment vertical="center" wrapText="1"/>
    </x:xf>
    <x:xf numFmtId="201" fontId="1" fillId="8" borderId="1" xfId="0" applyNumberFormat="1" applyFont="1" applyFill="1" applyBorder="1" applyAlignment="1">
      <x:alignment vertical="center" wrapText="1"/>
    </x:xf>
    <x:xf numFmtId="201" fontId="7" fillId="8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1" fillId="4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1" fillId="5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200" fontId="1" fillId="6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200" fontId="1" fillId="7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200" fontId="7" fillId="8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2" fontId="6" fillId="2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4">
    <x:dxf>
      <x:fill>
        <x:patternFill patternType="solid">
          <x:bgColor rgb="FFFFD7D1"/>
        </x:patternFill>
      </x:fill>
    </x:dxf>
    <x:dxf>
      <x:fill>
        <x:patternFill patternType="solid">
          <x:bgColor rgb="FFDFEAF3"/>
        </x:patternFill>
      </x:fill>
    </x:dxf>
    <x:dxf>
      <x:fill>
        <x:patternFill patternType="solid">
          <x:bgColor rgb="FFDFEAF3"/>
        </x:patternFill>
      </x:fill>
    </x:dxf>
    <x:dxf>
      <x:fill>
        <x:patternFill patternType="solid">
          <x:bgColor rgb="FFDFEAF3"/>
        </x:patternFill>
      </x:fill>
    </x:dxf>
    <x:dxf>
      <x:fill>
        <x:patternFill patternType="solid">
          <x:bgColor rgb="FFDFEAF3"/>
        </x:patternFill>
      </x:fill>
    </x:dxf>
    <x:dxf>
      <x:fill>
        <x:patternFill patternType="solid">
          <x:bgColor rgb="FFDFEAF3"/>
        </x:patternFill>
      </x:fill>
    </x:dxf>
    <x:dxf>
      <x:fill>
        <x:patternFill patternType="solid">
          <x:bgColor rgb="FFDFEAF3"/>
        </x:patternFill>
      </x:fill>
    </x:dxf>
    <x:dxf>
      <x:fill>
        <x:patternFill patternType="solid">
          <x:bgColor rgb="FFDFEAF3"/>
        </x:patternFill>
      </x:fill>
    </x:dxf>
    <x:dxf>
      <x:fill>
        <x:patternFill patternType="solid">
          <x:bgColor rgb="FFDFEAF3"/>
        </x:patternFill>
      </x:fill>
    </x:dxf>
    <x:dxf>
      <x:fill>
        <x:patternFill patternType="solid">
          <x:bgColor rgb="FFDFEAF3"/>
        </x:patternFill>
      </x:fill>
    </x:dxf>
    <x:dxf>
      <x:fill>
        <x:patternFill patternType="solid">
          <x:bgColor rgb="FFDFEAF3"/>
        </x:patternFill>
      </x:fill>
    </x:dxf>
    <x:dxf>
      <x:fill>
        <x:patternFill patternType="solid">
          <x:bgColor rgb="FFDFEAF3"/>
        </x:patternFill>
      </x:fill>
    </x:dxf>
    <x:dxf>
      <x:fill>
        <x:patternFill patternType="solid">
          <x:bgColor rgb="FFDFEAF3"/>
        </x:patternFill>
      </x:fill>
    </x:dxf>
    <x:dxf>
      <x:fill>
        <x:patternFill patternType="solid">
          <x:bgColor rgb="FFDFEAF3"/>
        </x:patternFill>
      </x:fill>
    </x:dxf>
    <x:dxf>
      <x:fill>
        <x:patternFill patternType="solid">
          <x:bgColor rgb="FFDFEAF3"/>
        </x:patternFill>
      </x:fill>
    </x:dxf>
    <x:dxf>
      <x:fill>
        <x:patternFill patternType="solid">
          <x:bgColor rgb="FFDFEAF3"/>
        </x:patternFill>
      </x:fill>
    </x:dxf>
    <x:dxf>
      <x:fill>
        <x:patternFill patternType="solid">
          <x:bgColor rgb="FFF7E4DA"/>
        </x:patternFill>
      </x:fill>
    </x:dxf>
    <x:dxf>
      <x:fill>
        <x:patternFill patternType="solid">
          <x:bgColor rgb="FFF7E4DA"/>
        </x:patternFill>
      </x:fill>
    </x:dxf>
    <x:dxf>
      <x:fill>
        <x:patternFill patternType="solid">
          <x:bgColor rgb="FFF7E4DA"/>
        </x:patternFill>
      </x:fill>
    </x:dxf>
    <x:dxf>
      <x:fill>
        <x:patternFill patternType="solid">
          <x:bgColor rgb="FFF7E4DA"/>
        </x:patternFill>
      </x:fill>
    </x:dxf>
    <x:dxf>
      <x:fill>
        <x:patternFill patternType="solid">
          <x:bgColor rgb="FFF7E4DA"/>
        </x:patternFill>
      </x:fill>
    </x:dxf>
    <x:dxf>
      <x:fill>
        <x:patternFill patternType="solid">
          <x:bgColor rgb="FFF7E4DA"/>
        </x:patternFill>
      </x:fill>
    </x:dxf>
    <x:dxf>
      <x:fill>
        <x:patternFill patternType="solid">
          <x:bgColor rgb="FFF7E4DA"/>
        </x:patternFill>
      </x:fill>
    </x:dxf>
    <x:dxf>
      <x:fill>
        <x:patternFill patternType="solid">
          <x:bgColor rgb="FFF7E4DA"/>
        </x:patternFill>
      </x:fill>
    </x:dxf>
    <x:dxf>
      <x:fill>
        <x:patternFill patternType="solid">
          <x:bgColor rgb="FFF7E4DA"/>
        </x:patternFill>
      </x:fill>
    </x:dxf>
    <x:dxf>
      <x:fill>
        <x:patternFill patternType="solid">
          <x:bgColor rgb="FFF7E4DA"/>
        </x:patternFill>
      </x:fill>
    </x:dxf>
    <x:dxf>
      <x:fill>
        <x:patternFill patternType="solid">
          <x:bgColor rgb="FFF7E4DA"/>
        </x:patternFill>
      </x:fill>
    </x:dxf>
    <x:dxf>
      <x:fill>
        <x:patternFill patternType="solid">
          <x:bgColor rgb="FFF7E4DA"/>
        </x:patternFill>
      </x:fill>
    </x:dxf>
    <x:dxf>
      <x:fill>
        <x:patternFill patternType="solid">
          <x:bgColor rgb="FFF7E4DA"/>
        </x:patternFill>
      </x:fill>
    </x:dxf>
    <x:dxf>
      <x:fill>
        <x:patternFill patternType="solid">
          <x:bgColor rgb="FFF7E4DA"/>
        </x:patternFill>
      </x:fill>
    </x:dxf>
    <x:dxf>
      <x:fill>
        <x:patternFill patternType="solid">
          <x:bgColor rgb="FFF7E4DA"/>
        </x:patternFill>
      </x:fill>
    </x:dxf>
    <x:dxf>
      <x:fill>
        <x:patternFill patternType="solid">
          <x:bgColor rgb="FFF7E4DA"/>
        </x:patternFill>
      </x:fill>
    </x:dxf>
    <x:dxf>
      <x:fill>
        <x:patternFill patternType="solid">
          <x:bgColor rgb="FFDFEEE5"/>
        </x:patternFill>
      </x:fill>
    </x:dxf>
    <x:dxf>
      <x:fill>
        <x:patternFill patternType="solid">
          <x:bgColor rgb="FFDFEEE5"/>
        </x:patternFill>
      </x:fill>
    </x:dxf>
    <x:dxf>
      <x:fill>
        <x:patternFill patternType="solid">
          <x:bgColor rgb="FFDFEEE5"/>
        </x:patternFill>
      </x:fill>
    </x:dxf>
    <x:dxf>
      <x:fill>
        <x:patternFill patternType="solid">
          <x:bgColor rgb="FFDFEEE5"/>
        </x:patternFill>
      </x:fill>
    </x:dxf>
    <x:dxf>
      <x:fill>
        <x:patternFill patternType="solid">
          <x:bgColor rgb="FFDFEEE5"/>
        </x:patternFill>
      </x:fill>
    </x:dxf>
    <x:dxf>
      <x:fill>
        <x:patternFill patternType="solid">
          <x:bgColor rgb="FFDFEEE5"/>
        </x:patternFill>
      </x:fill>
    </x:dxf>
    <x:dxf>
      <x:fill>
        <x:patternFill patternType="solid">
          <x:bgColor rgb="FFDFEEE5"/>
        </x:patternFill>
      </x:fill>
    </x:dxf>
    <x:dxf>
      <x:fill>
        <x:patternFill patternType="solid">
          <x:bgColor rgb="FFDFEEE5"/>
        </x:patternFill>
      </x:fill>
    </x:dxf>
    <x:dxf>
      <x:fill>
        <x:patternFill patternType="solid">
          <x:bgColor rgb="FFDFEEE5"/>
        </x:patternFill>
      </x:fill>
    </x:dxf>
    <x:dxf>
      <x:fill>
        <x:patternFill patternType="solid">
          <x:bgColor rgb="FFDFEEE5"/>
        </x:patternFill>
      </x:fill>
    </x:dxf>
    <x:dxf>
      <x:fill>
        <x:patternFill patternType="solid">
          <x:bgColor rgb="FFDFEEE5"/>
        </x:patternFill>
      </x:fill>
    </x:dxf>
    <x:dxf>
      <x:fill>
        <x:patternFill patternType="solid">
          <x:bgColor rgb="FFDFEE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ba9e171434147" /><Relationship Type="http://schemas.openxmlformats.org/officeDocument/2006/relationships/theme" Target="/xl/theme/theme1.xml" Id="R0b6263324ce54eac" /><Relationship Type="http://schemas.openxmlformats.org/officeDocument/2006/relationships/sharedStrings" Target="/xl/sharedStrings.xml" Id="R3c9b0f9e8dfb4a8c" /><Relationship Type="http://schemas.openxmlformats.org/officeDocument/2006/relationships/worksheet" Target="/xl/worksheets/sheet1.xml" Id="Rb37121fc47af4816" /><Relationship Type="http://schemas.openxmlformats.org/officeDocument/2006/relationships/worksheet" Target="/xl/worksheets/sheet2.xml" Id="R2cac9ba6a2484513" /><Relationship Type="http://schemas.openxmlformats.org/officeDocument/2006/relationships/worksheet" Target="/xl/worksheets/sheet3.xml" Id="Rc40e57296a474417" /><Relationship Type="http://schemas.openxmlformats.org/officeDocument/2006/relationships/worksheet" Target="/xl/worksheets/sheet4.xml" Id="Re10d741fa2be46bf" /><Relationship Type="http://schemas.openxmlformats.org/officeDocument/2006/relationships/worksheet" Target="/xl/worksheets/sheet5.xml" Id="R9a76278611414cf4" /></Relationships>
</file>

<file path=xl/tables/table1.xml><?xml version="1.0" encoding="utf-8"?>
<x:table xmlns:x="http://schemas.openxmlformats.org/spreadsheetml/2006/main" id="1" name="FeatureSchedule" displayName="FeatureSchedule" ref="A4:L47" headerRowCount="1" totalsRowCount="0" totalsRowShown="0">
  <x:tableColumns count="12">
    <x:tableColumn id="1" name="작업 ID"/>
    <x:tableColumn id="2" name="차수"/>
    <x:tableColumn id="3" name="기능"/>
    <x:tableColumn id="4" name="착수 시 판단"/>
    <x:tableColumn id="5" name="작업일"/>
    <x:tableColumn id="6" name="예비일"/>
    <x:tableColumn id="7" name="합계일"/>
    <x:tableColumn id="8" name="시작 예정"/>
    <x:tableColumn id="9" name="종료 예정"/>
    <x:tableColumn id="10" name="선행 작업"/>
    <x:tableColumn id="11" name="진행 상태"/>
    <x:tableColumn id="12" name="계획서 항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lementationCriteria" displayName="ImplementationCriteria" ref="A4:E47" headerRowCount="1" totalsRowCount="0" totalsRowShown="0">
  <x:tableColumns count="5">
    <x:tableColumn id="1" name="작업 ID"/>
    <x:tableColumn id="2" name="기능"/>
    <x:tableColumn id="3" name="구현 범위"/>
    <x:tableColumn id="4" name="완료 조건"/>
    <x:tableColumn id="5" name="계획서 항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9ee8d6f9964c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b19b0e81714789" /></Relationships>
</file>

<file path=xl/worksheets/sheet1.xml><?xml version="1.0" encoding="utf-8"?>
<x:worksheet xmlns:x="http://schemas.openxmlformats.org/spreadsheetml/2006/main">
  <x:sheetPr>
    <x:tabColor rgb="FF23313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.75" hidden="0" customWidth="1"/>
    <x:col min="2" max="2" width="36.25" hidden="0" customWidth="1"/>
    <x:col min="3" max="3" width="14.380000114440918" hidden="0" customWidth="1"/>
    <x:col min="4" max="4" width="13.130000114440918" hidden="0" customWidth="1"/>
    <x:col min="5" max="5" width="18.1299991607666" hidden="0" customWidth="1"/>
    <x:col min="6" max="6" width="16.25" hidden="0" customWidth="1"/>
    <x:col min="7" max="7" width="16.25" hidden="0" customWidth="1"/>
  </x:cols>
  <x:sheetData>
    <x:row r="1" ht="28" customHeight="1">
      <x:c r="A1" s="6" t="str">
        <x:v>Spotlog 차수별 개발 일정</x:v>
      </x:c>
      <x:c r="B1" s="6" t="str">
        <x:v>Spotlog 차수별 개발 일정</x:v>
      </x:c>
      <x:c r="C1" s="6" t="str">
        <x:v>Spotlog 차수별 개발 일정</x:v>
      </x:c>
      <x:c r="D1" s="6" t="str">
        <x:v>Spotlog 차수별 개발 일정</x:v>
      </x:c>
      <x:c r="E1" s="6" t="str">
        <x:v>Spotlog 차수별 개발 일정</x:v>
      </x:c>
      <x:c r="F1" s="6" t="str">
        <x:v>Spotlog 차수별 개발 일정</x:v>
      </x:c>
      <x:c r="G1" s="6" t="str">
        <x:v>Spotlog 차수별 개발 일정</x:v>
      </x:c>
    </x:row>
    <x:row r="2" ht="29" customHeight="1">
      <x:c r="A2" s="6" t="str">
        <x:v>Spotlog 차수별 개발 일정</x:v>
      </x:c>
      <x:c r="B2" s="6" t="str">
        <x:v>Spotlog 차수별 개발 일정</x:v>
      </x:c>
      <x:c r="C2" s="6" t="str">
        <x:v>Spotlog 차수별 개발 일정</x:v>
      </x:c>
      <x:c r="D2" s="6" t="str">
        <x:v>Spotlog 차수별 개발 일정</x:v>
      </x:c>
      <x:c r="E2" s="6" t="str">
        <x:v>Spotlog 차수별 개발 일정</x:v>
      </x:c>
      <x:c r="F2" s="6" t="str">
        <x:v>Spotlog 차수별 개발 일정</x:v>
      </x:c>
      <x:c r="G2" s="6" t="str">
        <x:v>Spotlog 차수별 개발 일정</x:v>
      </x:c>
    </x:row>
    <x:row r="3" ht="34" customHeight="1">
      <x:c r="A3" s="8" t="str">
        <x:v>2026-09-15 시작 / 프런트엔드 1·2·3차 / 기존 구현 검수와 추가 구현을 구분함</x:v>
      </x:c>
      <x:c r="B3" s="8" t="str">
        <x:v>2026-09-15 시작 / 프런트엔드 1·2·3차 / 기존 구현 검수와 추가 구현을 구분함</x:v>
      </x:c>
      <x:c r="C3" s="8" t="str">
        <x:v>2026-09-15 시작 / 프런트엔드 1·2·3차 / 기존 구현 검수와 추가 구현을 구분함</x:v>
      </x:c>
      <x:c r="D3" s="8" t="str">
        <x:v>2026-09-15 시작 / 프런트엔드 1·2·3차 / 기존 구현 검수와 추가 구현을 구분함</x:v>
      </x:c>
      <x:c r="E3" s="8" t="str">
        <x:v>2026-09-15 시작 / 프런트엔드 1·2·3차 / 기존 구현 검수와 추가 구현을 구분함</x:v>
      </x:c>
      <x:c r="F3" s="8" t="str">
        <x:v>2026-09-15 시작 / 프런트엔드 1·2·3차 / 기존 구현 검수와 추가 구현을 구분함</x:v>
      </x:c>
      <x:c r="G3" s="8" t="str">
        <x:v>2026-09-15 시작 / 프런트엔드 1·2·3차 / 기존 구현 검수와 추가 구현을 구분함</x:v>
      </x:c>
    </x:row>
    <x:row r="4" ht="36" customHeight="1">
      <x:c r="A4" s="9" t="str">
        <x:v>시작일</x:v>
      </x:c>
      <x:c r="B4" s="9" t="str">
        <x:v>기능·검수 작업일</x:v>
      </x:c>
      <x:c r="C4" s="9" t="str">
        <x:v>예비일</x:v>
      </x:c>
      <x:c r="D4" s="9" t="str">
        <x:v>전체 작업일</x:v>
      </x:c>
      <x:c r="E4" s="9" t="str">
        <x:v>완료 예정일</x:v>
      </x:c>
      <x:c r="F4" s="9" t="str">
        <x:v>작업 기준</x:v>
      </x:c>
      <x:c r="G4" s="9" t="str"/>
    </x:row>
    <x:row r="5" ht="42" customHeight="1">
      <x:c r="A5" s="57" t="n">
        <x:v>46280</x:v>
      </x:c>
      <x:c r="B5" s="58" t="n">
        <x:f>SUM('기능별 일정'!E5:E47)</x:f>
        <x:v>80</x:v>
      </x:c>
      <x:c r="C5" s="58" t="n">
        <x:f>SUM('기능별 일정'!F5:F47)</x:f>
        <x:v>20</x:v>
      </x:c>
      <x:c r="D5" s="58" t="n">
        <x:f>SUM('기능별 일정'!G5:G47)</x:f>
        <x:v>100</x:v>
      </x:c>
      <x:c r="E5" s="59" t="n">
        <x:f>'기능별 일정'!I47</x:f>
        <x:v>46429</x:v>
      </x:c>
      <x:c r="F5" s="60" t="str">
        <x:v>주 5일</x:v>
      </x:c>
      <x:c r="G5" s="3" t="str"/>
    </x:row>
    <x:row r="6" ht="29" customHeight="1">
      <x:c r="A6" s="3"/>
      <x:c r="B6" s="3"/>
      <x:c r="C6" s="3"/>
      <x:c r="D6" s="3"/>
      <x:c r="E6" s="3"/>
      <x:c r="F6" s="3"/>
      <x:c r="G6" s="3"/>
    </x:row>
    <x:row r="7" ht="29" customHeight="1">
      <x:c r="A7" s="10" t="str">
        <x:v>시작일과 기능별 작업일을 변경하면 다음 작업·차수·주간 일정이 함께 이동함. 주말과 등록 휴일을 제외함. 기능·검수 80일에 수정 여유 20일을 별도로 배정한 계획 추정이며 실제 완료일을 보장하는 값은 아님.</x:v>
      </x:c>
      <x:c r="B7" s="10" t="str">
        <x:v>시작일과 기능별 작업일을 변경하면 다음 작업·차수·주간 일정이 함께 이동함. 주말과 등록 휴일을 제외함. 기능·검수 80일에 수정 여유 20일을 별도로 배정한 계획 추정이며 실제 완료일을 보장하는 값은 아님.</x:v>
      </x:c>
      <x:c r="C7" s="10" t="str">
        <x:v>시작일과 기능별 작업일을 변경하면 다음 작업·차수·주간 일정이 함께 이동함. 주말과 등록 휴일을 제외함. 기능·검수 80일에 수정 여유 20일을 별도로 배정한 계획 추정이며 실제 완료일을 보장하는 값은 아님.</x:v>
      </x:c>
      <x:c r="D7" s="10" t="str">
        <x:v>시작일과 기능별 작업일을 변경하면 다음 작업·차수·주간 일정이 함께 이동함. 주말과 등록 휴일을 제외함. 기능·검수 80일에 수정 여유 20일을 별도로 배정한 계획 추정이며 실제 완료일을 보장하는 값은 아님.</x:v>
      </x:c>
      <x:c r="E7" s="10" t="str">
        <x:v>시작일과 기능별 작업일을 변경하면 다음 작업·차수·주간 일정이 함께 이동함. 주말과 등록 휴일을 제외함. 기능·검수 80일에 수정 여유 20일을 별도로 배정한 계획 추정이며 실제 완료일을 보장하는 값은 아님.</x:v>
      </x:c>
      <x:c r="F7" s="10" t="str">
        <x:v>시작일과 기능별 작업일을 변경하면 다음 작업·차수·주간 일정이 함께 이동함. 주말과 등록 휴일을 제외함. 기능·검수 80일에 수정 여유 20일을 별도로 배정한 계획 추정이며 실제 완료일을 보장하는 값은 아님.</x:v>
      </x:c>
      <x:c r="G7" s="10" t="str">
        <x:v>시작일과 기능별 작업일을 변경하면 다음 작업·차수·주간 일정이 함께 이동함. 주말과 등록 휴일을 제외함. 기능·검수 80일에 수정 여유 20일을 별도로 배정한 계획 추정이며 실제 완료일을 보장하는 값은 아님.</x:v>
      </x:c>
    </x:row>
    <x:row r="8" ht="29" customHeight="1">
      <x:c r="A8" s="10" t="str">
        <x:v>시작일과 기능별 작업일을 변경하면 다음 작업·차수·주간 일정이 함께 이동함. 주말과 등록 휴일을 제외함. 기능·검수 80일에 수정 여유 20일을 별도로 배정한 계획 추정이며 실제 완료일을 보장하는 값은 아님.</x:v>
      </x:c>
      <x:c r="B8" s="10" t="str">
        <x:v>시작일과 기능별 작업일을 변경하면 다음 작업·차수·주간 일정이 함께 이동함. 주말과 등록 휴일을 제외함. 기능·검수 80일에 수정 여유 20일을 별도로 배정한 계획 추정이며 실제 완료일을 보장하는 값은 아님.</x:v>
      </x:c>
      <x:c r="C8" s="10" t="str">
        <x:v>시작일과 기능별 작업일을 변경하면 다음 작업·차수·주간 일정이 함께 이동함. 주말과 등록 휴일을 제외함. 기능·검수 80일에 수정 여유 20일을 별도로 배정한 계획 추정이며 실제 완료일을 보장하는 값은 아님.</x:v>
      </x:c>
      <x:c r="D8" s="10" t="str">
        <x:v>시작일과 기능별 작업일을 변경하면 다음 작업·차수·주간 일정이 함께 이동함. 주말과 등록 휴일을 제외함. 기능·검수 80일에 수정 여유 20일을 별도로 배정한 계획 추정이며 실제 완료일을 보장하는 값은 아님.</x:v>
      </x:c>
      <x:c r="E8" s="10" t="str">
        <x:v>시작일과 기능별 작업일을 변경하면 다음 작업·차수·주간 일정이 함께 이동함. 주말과 등록 휴일을 제외함. 기능·검수 80일에 수정 여유 20일을 별도로 배정한 계획 추정이며 실제 완료일을 보장하는 값은 아님.</x:v>
      </x:c>
      <x:c r="F8" s="10" t="str">
        <x:v>시작일과 기능별 작업일을 변경하면 다음 작업·차수·주간 일정이 함께 이동함. 주말과 등록 휴일을 제외함. 기능·검수 80일에 수정 여유 20일을 별도로 배정한 계획 추정이며 실제 완료일을 보장하는 값은 아님.</x:v>
      </x:c>
      <x:c r="G8" s="10" t="str">
        <x:v>시작일과 기능별 작업일을 변경하면 다음 작업·차수·주간 일정이 함께 이동함. 주말과 등록 휴일을 제외함. 기능·검수 80일에 수정 여유 20일을 별도로 배정한 계획 추정이며 실제 완료일을 보장하는 값은 아님.</x:v>
      </x:c>
    </x:row>
    <x:row r="9" ht="29" customHeight="1">
      <x:c r="A9" s="3"/>
      <x:c r="B9" s="3"/>
      <x:c r="C9" s="3"/>
      <x:c r="D9" s="3"/>
      <x:c r="E9" s="3"/>
      <x:c r="F9" s="3"/>
      <x:c r="G9" s="3"/>
    </x:row>
    <x:row r="10" ht="36" customHeight="1">
      <x:c r="A10" s="9" t="str">
        <x:v>차수</x:v>
      </x:c>
      <x:c r="B10" s="9" t="str">
        <x:v>범위</x:v>
      </x:c>
      <x:c r="C10" s="9" t="str">
        <x:v>기능·검수일</x:v>
      </x:c>
      <x:c r="D10" s="9" t="str">
        <x:v>예비일</x:v>
      </x:c>
      <x:c r="E10" s="9" t="str">
        <x:v>합계일</x:v>
      </x:c>
      <x:c r="F10" s="9" t="str">
        <x:v>시작 예정</x:v>
      </x:c>
      <x:c r="G10" s="9" t="str">
        <x:v>종료 예정</x:v>
      </x:c>
    </x:row>
    <x:row r="11" ht="50" customHeight="1">
      <x:c r="A11" s="28" t="str">
        <x:v>1차</x:v>
      </x:c>
      <x:c r="B11" s="28" t="str">
        <x:v>발견·저장·사진 확인</x:v>
      </x:c>
      <x:c r="C11" s="28" t="n">
        <x:f>SUM('기능별 일정'!E5:E19)</x:f>
        <x:v>24</x:v>
      </x:c>
      <x:c r="D11" s="28" t="n">
        <x:f>SUM('기능별 일정'!F5:F19)</x:f>
        <x:v>6</x:v>
      </x:c>
      <x:c r="E11" s="28" t="n">
        <x:f>SUM(C11:D11)</x:f>
        <x:v>30</x:v>
      </x:c>
      <x:c r="F11" s="33" t="n">
        <x:f>'기능별 일정'!H5</x:f>
        <x:v>46280</x:v>
      </x:c>
      <x:c r="G11" s="33" t="n">
        <x:f>'기능별 일정'!I19</x:f>
        <x:v>46325</x:v>
      </x:c>
    </x:row>
    <x:row r="12" ht="50" customHeight="1">
      <x:c r="A12" s="30" t="str">
        <x:v>2차</x:v>
      </x:c>
      <x:c r="B12" s="30" t="str">
        <x:v>일정·여행기 작성·카드별 소통</x:v>
      </x:c>
      <x:c r="C12" s="30" t="n">
        <x:f>SUM('기능별 일정'!E20:E35)</x:f>
        <x:v>32</x:v>
      </x:c>
      <x:c r="D12" s="30" t="n">
        <x:f>SUM('기능별 일정'!F20:F35)</x:f>
        <x:v>8</x:v>
      </x:c>
      <x:c r="E12" s="30" t="n">
        <x:f>SUM(C12:D12)</x:f>
        <x:v>40</x:v>
      </x:c>
      <x:c r="F12" s="34" t="n">
        <x:f>'기능별 일정'!H20</x:f>
        <x:v>46328</x:v>
      </x:c>
      <x:c r="G12" s="34" t="n">
        <x:f>'기능별 일정'!I35</x:f>
        <x:v>46384</x:v>
      </x:c>
    </x:row>
    <x:row r="13" ht="50" customHeight="1">
      <x:c r="A13" s="32" t="str">
        <x:v>3차</x:v>
      </x:c>
      <x:c r="B13" s="32" t="str">
        <x:v>AI 추천·관광 안내·영어 이용</x:v>
      </x:c>
      <x:c r="C13" s="32" t="n">
        <x:f>SUM('기능별 일정'!E36:E47)</x:f>
        <x:v>24</x:v>
      </x:c>
      <x:c r="D13" s="32" t="n">
        <x:f>SUM('기능별 일정'!F36:F47)</x:f>
        <x:v>6</x:v>
      </x:c>
      <x:c r="E13" s="32" t="n">
        <x:f>SUM(C13:D13)</x:f>
        <x:v>30</x:v>
      </x:c>
      <x:c r="F13" s="35" t="n">
        <x:f>'기능별 일정'!H36</x:f>
        <x:v>46385</x:v>
      </x:c>
      <x:c r="G13" s="35" t="n">
        <x:f>'기능별 일정'!I47</x:f>
        <x:v>46429</x:v>
      </x:c>
    </x:row>
    <x:row r="14" ht="36" customHeight="1">
      <x:c r="A14" s="61" t="str">
        <x:v>전체</x:v>
      </x:c>
      <x:c r="B14" s="61" t="str">
        <x:v>순차 개발</x:v>
      </x:c>
      <x:c r="C14" s="61" t="n">
        <x:f>SUM(C11:C13)</x:f>
        <x:v>80</x:v>
      </x:c>
      <x:c r="D14" s="61" t="n">
        <x:f>SUM(D11:D13)</x:f>
        <x:v>20</x:v>
      </x:c>
      <x:c r="E14" s="61" t="n">
        <x:f>SUM(E11:E13)</x:f>
        <x:v>100</x:v>
      </x:c>
      <x:c r="F14" s="62" t="n">
        <x:f>F11</x:f>
        <x:v>46280</x:v>
      </x:c>
      <x:c r="G14" s="62" t="n">
        <x:f>G13</x:f>
        <x:v>46429</x:v>
      </x:c>
    </x:row>
    <x:row r="15" ht="29" customHeight="1">
      <x:c r="A15" s="3"/>
      <x:c r="B15" s="3"/>
      <x:c r="C15" s="3"/>
      <x:c r="D15" s="3"/>
      <x:c r="E15" s="3"/>
      <x:c r="F15" s="3"/>
      <x:c r="G15" s="3"/>
    </x:row>
    <x:row r="16" ht="29" customHeight="1">
      <x:c r="A16" s="23" t="str">
        <x:v>차수별 완료 기준</x:v>
      </x:c>
      <x:c r="B16" s="23" t="str">
        <x:v>차수별 완료 기준</x:v>
      </x:c>
      <x:c r="C16" s="23" t="str">
        <x:v>차수별 완료 기준</x:v>
      </x:c>
      <x:c r="D16" s="23" t="str">
        <x:v>차수별 완료 기준</x:v>
      </x:c>
      <x:c r="E16" s="23" t="str">
        <x:v>차수별 완료 기준</x:v>
      </x:c>
      <x:c r="F16" s="23" t="str">
        <x:v>차수별 완료 기준</x:v>
      </x:c>
      <x:c r="G16" s="23" t="str">
        <x:v>차수별 완료 기준</x:v>
      </x:c>
    </x:row>
    <x:row r="17" ht="52" customHeight="1">
      <x:c r="A17" s="11" t="str">
        <x:v>1차</x:v>
      </x:c>
      <x:c r="B17" s="11" t="str">
        <x:v>사진·영상·안내·저장·홈 AI에서 장소와 담김 상태가 일치하고, 승인한 여행·DAY로 이동하며 기존 기록을 보존함.</x:v>
      </x:c>
      <x:c r="C17" s="11" t="str">
        <x:v>사진·영상·안내·저장·홈 AI에서 장소와 담김 상태가 일치하고, 승인한 여행·DAY로 이동하며 기존 기록을 보존함.</x:v>
      </x:c>
      <x:c r="D17" s="11" t="str">
        <x:v>사진·영상·안내·저장·홈 AI에서 장소와 담김 상태가 일치하고, 승인한 여행·DAY로 이동하며 기존 기록을 보존함.</x:v>
      </x:c>
      <x:c r="E17" s="11" t="str">
        <x:v>사진·영상·안내·저장·홈 AI에서 장소와 담김 상태가 일치하고, 승인한 여행·DAY로 이동하며 기존 기록을 보존함.</x:v>
      </x:c>
      <x:c r="F17" s="11" t="str">
        <x:v>사진·영상·안내·저장·홈 AI에서 장소와 담김 상태가 일치하고, 승인한 여행·DAY로 이동하며 기존 기록을 보존함.</x:v>
      </x:c>
      <x:c r="G17" s="11" t="str">
        <x:v>사진·영상·안내·저장·홈 AI에서 장소와 담김 상태가 일치하고, 승인한 여행·DAY로 이동하며 기존 기록을 보존함.</x:v>
      </x:c>
    </x:row>
    <x:row r="18" ht="52" customHeight="1">
      <x:c r="A18" s="13" t="str">
        <x:v>2차</x:v>
      </x:c>
      <x:c r="B18" s="13" t="str">
        <x:v>초안 복구·DAY 이동·독립 복사·주변 장소·숙소 관계가 유지되고, 카드별 반응과 댓글·답글을 샘플로 검증함.</x:v>
      </x:c>
      <x:c r="C18" s="13" t="str">
        <x:v>초안 복구·DAY 이동·독립 복사·주변 장소·숙소 관계가 유지되고, 카드별 반응과 댓글·답글을 샘플로 검증함.</x:v>
      </x:c>
      <x:c r="D18" s="13" t="str">
        <x:v>초안 복구·DAY 이동·독립 복사·주변 장소·숙소 관계가 유지되고, 카드별 반응과 댓글·답글을 샘플로 검증함.</x:v>
      </x:c>
      <x:c r="E18" s="13" t="str">
        <x:v>초안 복구·DAY 이동·독립 복사·주변 장소·숙소 관계가 유지되고, 카드별 반응과 댓글·답글을 샘플로 검증함.</x:v>
      </x:c>
      <x:c r="F18" s="13" t="str">
        <x:v>초안 복구·DAY 이동·독립 복사·주변 장소·숙소 관계가 유지되고, 카드별 반응과 댓글·답글을 샘플로 검증함.</x:v>
      </x:c>
      <x:c r="G18" s="13" t="str">
        <x:v>초안 복구·DAY 이동·독립 복사·주변 장소·숙소 관계가 유지되고, 카드별 반응과 댓글·답글을 샘플로 검증함.</x:v>
      </x:c>
    </x:row>
    <x:row r="19" ht="52" customHeight="1">
      <x:c r="A19" s="11" t="str">
        <x:v>3차</x:v>
      </x:c>
      <x:c r="B19" s="11" t="str">
        <x:v>고정 일정과 변경 대상 밖 기록을 보존하며 추천 승인부터 안내·영어 보기까지 연결함. 실제 외부 AI·검색·경로·번역 연결과 명확히 구분함.</x:v>
      </x:c>
      <x:c r="C19" s="11" t="str">
        <x:v>고정 일정과 변경 대상 밖 기록을 보존하며 추천 승인부터 안내·영어 보기까지 연결함. 실제 외부 AI·검색·경로·번역 연결과 명확히 구분함.</x:v>
      </x:c>
      <x:c r="D19" s="11" t="str">
        <x:v>고정 일정과 변경 대상 밖 기록을 보존하며 추천 승인부터 안내·영어 보기까지 연결함. 실제 외부 AI·검색·경로·번역 연결과 명확히 구분함.</x:v>
      </x:c>
      <x:c r="E19" s="11" t="str">
        <x:v>고정 일정과 변경 대상 밖 기록을 보존하며 추천 승인부터 안내·영어 보기까지 연결함. 실제 외부 AI·검색·경로·번역 연결과 명확히 구분함.</x:v>
      </x:c>
      <x:c r="F19" s="11" t="str">
        <x:v>고정 일정과 변경 대상 밖 기록을 보존하며 추천 승인부터 안내·영어 보기까지 연결함. 실제 외부 AI·검색·경로·번역 연결과 명확히 구분함.</x:v>
      </x:c>
      <x:c r="G19" s="11" t="str">
        <x:v>고정 일정과 변경 대상 밖 기록을 보존하며 추천 승인부터 안내·영어 보기까지 연결함. 실제 외부 AI·검색·경로·번역 연결과 명확히 구분함.</x:v>
      </x:c>
    </x:row>
    <x:row r="20" ht="29" customHeight="1">
      <x:c r="A20" s="3"/>
      <x:c r="B20" s="3"/>
      <x:c r="C20" s="3"/>
      <x:c r="D20" s="3"/>
      <x:c r="E20" s="3"/>
      <x:c r="F20" s="3"/>
      <x:c r="G20" s="3"/>
    </x:row>
    <x:row r="21" ht="29" customHeight="1">
      <x:c r="A21" s="10" t="str">
        <x:v>3차까지는 로컬 화면·샘플 연결 검증임. 실제 로그인·서버 저장·발행·댓글 집계·네이버·RAG·LLM·교통·번역 API는 후속 백엔드에서 연결함. 60개 내외 스팟과 대량 사진 수급·작성자 모집은 별도 운영 범위임.</x:v>
      </x:c>
      <x:c r="B21" s="10" t="str">
        <x:v>3차까지는 로컬 화면·샘플 연결 검증임. 실제 로그인·서버 저장·발행·댓글 집계·네이버·RAG·LLM·교통·번역 API는 후속 백엔드에서 연결함. 60개 내외 스팟과 대량 사진 수급·작성자 모집은 별도 운영 범위임.</x:v>
      </x:c>
      <x:c r="C21" s="10" t="str">
        <x:v>3차까지는 로컬 화면·샘플 연결 검증임. 실제 로그인·서버 저장·발행·댓글 집계·네이버·RAG·LLM·교통·번역 API는 후속 백엔드에서 연결함. 60개 내외 스팟과 대량 사진 수급·작성자 모집은 별도 운영 범위임.</x:v>
      </x:c>
      <x:c r="D21" s="10" t="str">
        <x:v>3차까지는 로컬 화면·샘플 연결 검증임. 실제 로그인·서버 저장·발행·댓글 집계·네이버·RAG·LLM·교통·번역 API는 후속 백엔드에서 연결함. 60개 내외 스팟과 대량 사진 수급·작성자 모집은 별도 운영 범위임.</x:v>
      </x:c>
      <x:c r="E21" s="10" t="str">
        <x:v>3차까지는 로컬 화면·샘플 연결 검증임. 실제 로그인·서버 저장·발행·댓글 집계·네이버·RAG·LLM·교통·번역 API는 후속 백엔드에서 연결함. 60개 내외 스팟과 대량 사진 수급·작성자 모집은 별도 운영 범위임.</x:v>
      </x:c>
      <x:c r="F21" s="10" t="str">
        <x:v>3차까지는 로컬 화면·샘플 연결 검증임. 실제 로그인·서버 저장·발행·댓글 집계·네이버·RAG·LLM·교통·번역 API는 후속 백엔드에서 연결함. 60개 내외 스팟과 대량 사진 수급·작성자 모집은 별도 운영 범위임.</x:v>
      </x:c>
      <x:c r="G21" s="10" t="str">
        <x:v>3차까지는 로컬 화면·샘플 연결 검증임. 실제 로그인·서버 저장·발행·댓글 집계·네이버·RAG·LLM·교통·번역 API는 후속 백엔드에서 연결함. 60개 내외 스팟과 대량 사진 수급·작성자 모집은 별도 운영 범위임.</x:v>
      </x:c>
    </x:row>
    <x:row r="22" ht="29" customHeight="1">
      <x:c r="A22" s="10" t="str">
        <x:v>3차까지는 로컬 화면·샘플 연결 검증임. 실제 로그인·서버 저장·발행·댓글 집계·네이버·RAG·LLM·교통·번역 API는 후속 백엔드에서 연결함. 60개 내외 스팟과 대량 사진 수급·작성자 모집은 별도 운영 범위임.</x:v>
      </x:c>
      <x:c r="B22" s="10" t="str">
        <x:v>3차까지는 로컬 화면·샘플 연결 검증임. 실제 로그인·서버 저장·발행·댓글 집계·네이버·RAG·LLM·교통·번역 API는 후속 백엔드에서 연결함. 60개 내외 스팟과 대량 사진 수급·작성자 모집은 별도 운영 범위임.</x:v>
      </x:c>
      <x:c r="C22" s="10" t="str">
        <x:v>3차까지는 로컬 화면·샘플 연결 검증임. 실제 로그인·서버 저장·발행·댓글 집계·네이버·RAG·LLM·교통·번역 API는 후속 백엔드에서 연결함. 60개 내외 스팟과 대량 사진 수급·작성자 모집은 별도 운영 범위임.</x:v>
      </x:c>
      <x:c r="D22" s="10" t="str">
        <x:v>3차까지는 로컬 화면·샘플 연결 검증임. 실제 로그인·서버 저장·발행·댓글 집계·네이버·RAG·LLM·교통·번역 API는 후속 백엔드에서 연결함. 60개 내외 스팟과 대량 사진 수급·작성자 모집은 별도 운영 범위임.</x:v>
      </x:c>
      <x:c r="E22" s="10" t="str">
        <x:v>3차까지는 로컬 화면·샘플 연결 검증임. 실제 로그인·서버 저장·발행·댓글 집계·네이버·RAG·LLM·교통·번역 API는 후속 백엔드에서 연결함. 60개 내외 스팟과 대량 사진 수급·작성자 모집은 별도 운영 범위임.</x:v>
      </x:c>
      <x:c r="F22" s="10" t="str">
        <x:v>3차까지는 로컬 화면·샘플 연결 검증임. 실제 로그인·서버 저장·발행·댓글 집계·네이버·RAG·LLM·교통·번역 API는 후속 백엔드에서 연결함. 60개 내외 스팟과 대량 사진 수급·작성자 모집은 별도 운영 범위임.</x:v>
      </x:c>
      <x:c r="G22" s="10" t="str">
        <x:v>3차까지는 로컬 화면·샘플 연결 검증임. 실제 로그인·서버 저장·발행·댓글 집계·네이버·RAG·LLM·교통·번역 API는 후속 백엔드에서 연결함. 60개 내외 스팟과 대량 사진 수급·작성자 모집은 별도 운영 범위임.</x:v>
      </x:c>
    </x:row>
    <x:row r="23" ht="29" customHeight="1">
      <x:c r="A23" s="3"/>
      <x:c r="B23" s="3"/>
      <x:c r="C23" s="3"/>
      <x:c r="D23" s="3"/>
      <x:c r="E23" s="3"/>
      <x:c r="F23" s="3"/>
      <x:c r="G23" s="3"/>
    </x:row>
    <x:row r="24" ht="29" customHeight="1">
      <x:c r="A24" s="3" t="str">
        <x:v>사용 방법: ① 시작일 수정 ② 작업일/예비일 조정 ③ 진행 상태 기록 ④ 실행 MD 대조. 필터로 조회하되 행 정렬/삽입/삭제 시 선후관계를 재검토함. 합계 0일은 빨간색으로 표시함. MD 날짜는 최초 기준이며 변경 일정은 엑셀에서 확인함.</x:v>
      </x:c>
      <x:c r="B24" s="3" t="str">
        <x:v>사용 방법: ① 시작일 수정 ② 작업일/예비일 조정 ③ 진행 상태 기록 ④ 실행 MD 대조. 필터로 조회하되 행 정렬/삽입/삭제 시 선후관계를 재검토함. 합계 0일은 빨간색으로 표시함. MD 날짜는 최초 기준이며 변경 일정은 엑셀에서 확인함.</x:v>
      </x:c>
      <x:c r="C24" s="3" t="str">
        <x:v>사용 방법: ① 시작일 수정 ② 작업일/예비일 조정 ③ 진행 상태 기록 ④ 실행 MD 대조. 필터로 조회하되 행 정렬/삽입/삭제 시 선후관계를 재검토함. 합계 0일은 빨간색으로 표시함. MD 날짜는 최초 기준이며 변경 일정은 엑셀에서 확인함.</x:v>
      </x:c>
      <x:c r="D24" s="3" t="str">
        <x:v>사용 방법: ① 시작일 수정 ② 작업일/예비일 조정 ③ 진행 상태 기록 ④ 실행 MD 대조. 필터로 조회하되 행 정렬/삽입/삭제 시 선후관계를 재검토함. 합계 0일은 빨간색으로 표시함. MD 날짜는 최초 기준이며 변경 일정은 엑셀에서 확인함.</x:v>
      </x:c>
      <x:c r="E24" s="3" t="str">
        <x:v>사용 방법: ① 시작일 수정 ② 작업일/예비일 조정 ③ 진행 상태 기록 ④ 실행 MD 대조. 필터로 조회하되 행 정렬/삽입/삭제 시 선후관계를 재검토함. 합계 0일은 빨간색으로 표시함. MD 날짜는 최초 기준이며 변경 일정은 엑셀에서 확인함.</x:v>
      </x:c>
      <x:c r="F24" s="3" t="str">
        <x:v>사용 방법: ① 시작일 수정 ② 작업일/예비일 조정 ③ 진행 상태 기록 ④ 실행 MD 대조. 필터로 조회하되 행 정렬/삽입/삭제 시 선후관계를 재검토함. 합계 0일은 빨간색으로 표시함. MD 날짜는 최초 기준이며 변경 일정은 엑셀에서 확인함.</x:v>
      </x:c>
      <x:c r="G24" s="3" t="str">
        <x:v>사용 방법: ① 시작일 수정 ② 작업일/예비일 조정 ③ 진행 상태 기록 ④ 실행 MD 대조. 필터로 조회하되 행 정렬/삽입/삭제 시 선후관계를 재검토함. 합계 0일은 빨간색으로 표시함. MD 날짜는 최초 기준이며 변경 일정은 엑셀에서 확인함.</x:v>
      </x:c>
    </x:row>
    <x:row r="25" ht="29" customHeight="1">
      <x:c r="A25" s="3" t="str">
        <x:v>사용 방법: ① 시작일 수정 ② 작업일/예비일 조정 ③ 진행 상태 기록 ④ 실행 MD 대조. 필터로 조회하되 행 정렬/삽입/삭제 시 선후관계를 재검토함. 합계 0일은 빨간색으로 표시함. MD 날짜는 최초 기준이며 변경 일정은 엑셀에서 확인함.</x:v>
      </x:c>
      <x:c r="B25" s="3" t="str">
        <x:v>사용 방법: ① 시작일 수정 ② 작업일/예비일 조정 ③ 진행 상태 기록 ④ 실행 MD 대조. 필터로 조회하되 행 정렬/삽입/삭제 시 선후관계를 재검토함. 합계 0일은 빨간색으로 표시함. MD 날짜는 최초 기준이며 변경 일정은 엑셀에서 확인함.</x:v>
      </x:c>
      <x:c r="C25" s="3" t="str">
        <x:v>사용 방법: ① 시작일 수정 ② 작업일/예비일 조정 ③ 진행 상태 기록 ④ 실행 MD 대조. 필터로 조회하되 행 정렬/삽입/삭제 시 선후관계를 재검토함. 합계 0일은 빨간색으로 표시함. MD 날짜는 최초 기준이며 변경 일정은 엑셀에서 확인함.</x:v>
      </x:c>
      <x:c r="D25" s="3" t="str">
        <x:v>사용 방법: ① 시작일 수정 ② 작업일/예비일 조정 ③ 진행 상태 기록 ④ 실행 MD 대조. 필터로 조회하되 행 정렬/삽입/삭제 시 선후관계를 재검토함. 합계 0일은 빨간색으로 표시함. MD 날짜는 최초 기준이며 변경 일정은 엑셀에서 확인함.</x:v>
      </x:c>
      <x:c r="E25" s="3" t="str">
        <x:v>사용 방법: ① 시작일 수정 ② 작업일/예비일 조정 ③ 진행 상태 기록 ④ 실행 MD 대조. 필터로 조회하되 행 정렬/삽입/삭제 시 선후관계를 재검토함. 합계 0일은 빨간색으로 표시함. MD 날짜는 최초 기준이며 변경 일정은 엑셀에서 확인함.</x:v>
      </x:c>
      <x:c r="F25" s="3" t="str">
        <x:v>사용 방법: ① 시작일 수정 ② 작업일/예비일 조정 ③ 진행 상태 기록 ④ 실행 MD 대조. 필터로 조회하되 행 정렬/삽입/삭제 시 선후관계를 재검토함. 합계 0일은 빨간색으로 표시함. MD 날짜는 최초 기준이며 변경 일정은 엑셀에서 확인함.</x:v>
      </x:c>
      <x:c r="G25" s="3" t="str">
        <x:v>사용 방법: ① 시작일 수정 ② 작업일/예비일 조정 ③ 진행 상태 기록 ④ 실행 MD 대조. 필터로 조회하되 행 정렬/삽입/삭제 시 선후관계를 재검토함. 합계 0일은 빨간색으로 표시함. MD 날짜는 최초 기준이며 변경 일정은 엑셀에서 확인함.</x:v>
      </x:c>
    </x:row>
    <x:row r="26" ht="29" customHeight="1">
      <x:c r="A26" s="3"/>
      <x:c r="B26" s="3"/>
      <x:c r="C26" s="3"/>
      <x:c r="D26" s="3"/>
      <x:c r="E26" s="3"/>
      <x:c r="F26" s="3"/>
      <x:c r="G26" s="3"/>
    </x:row>
    <x:row r="27" ht="29" customHeight="1">
      <x:c r="A27" s="10" t="str">
        <x:v>진행 중인 기존 기능을 다시 만들지 않음. 착수 시 현재 코드·최신 인수인계를 확인해 재사용 가능 여부를 판단함. 예비일은 발견된 결함 수정용이며 기능 추가 승인이나 공개 배포 승인을 뜻하지 않음.</x:v>
      </x:c>
      <x:c r="B27" s="10" t="str">
        <x:v>진행 중인 기존 기능을 다시 만들지 않음. 착수 시 현재 코드·최신 인수인계를 확인해 재사용 가능 여부를 판단함. 예비일은 발견된 결함 수정용이며 기능 추가 승인이나 공개 배포 승인을 뜻하지 않음.</x:v>
      </x:c>
      <x:c r="C27" s="10" t="str">
        <x:v>진행 중인 기존 기능을 다시 만들지 않음. 착수 시 현재 코드·최신 인수인계를 확인해 재사용 가능 여부를 판단함. 예비일은 발견된 결함 수정용이며 기능 추가 승인이나 공개 배포 승인을 뜻하지 않음.</x:v>
      </x:c>
      <x:c r="D27" s="10" t="str">
        <x:v>진행 중인 기존 기능을 다시 만들지 않음. 착수 시 현재 코드·최신 인수인계를 확인해 재사용 가능 여부를 판단함. 예비일은 발견된 결함 수정용이며 기능 추가 승인이나 공개 배포 승인을 뜻하지 않음.</x:v>
      </x:c>
      <x:c r="E27" s="10" t="str">
        <x:v>진행 중인 기존 기능을 다시 만들지 않음. 착수 시 현재 코드·최신 인수인계를 확인해 재사용 가능 여부를 판단함. 예비일은 발견된 결함 수정용이며 기능 추가 승인이나 공개 배포 승인을 뜻하지 않음.</x:v>
      </x:c>
      <x:c r="F27" s="10" t="str">
        <x:v>진행 중인 기존 기능을 다시 만들지 않음. 착수 시 현재 코드·최신 인수인계를 확인해 재사용 가능 여부를 판단함. 예비일은 발견된 결함 수정용이며 기능 추가 승인이나 공개 배포 승인을 뜻하지 않음.</x:v>
      </x:c>
      <x:c r="G27" s="10" t="str">
        <x:v>진행 중인 기존 기능을 다시 만들지 않음. 착수 시 현재 코드·최신 인수인계를 확인해 재사용 가능 여부를 판단함. 예비일은 발견된 결함 수정용이며 기능 추가 승인이나 공개 배포 승인을 뜻하지 않음.</x:v>
      </x:c>
    </x:row>
    <x:row r="28" ht="29" customHeight="1">
      <x:c r="A28" s="10" t="str">
        <x:v>진행 중인 기존 기능을 다시 만들지 않음. 착수 시 현재 코드·최신 인수인계를 확인해 재사용 가능 여부를 판단함. 예비일은 발견된 결함 수정용이며 기능 추가 승인이나 공개 배포 승인을 뜻하지 않음.</x:v>
      </x:c>
      <x:c r="B28" s="10" t="str">
        <x:v>진행 중인 기존 기능을 다시 만들지 않음. 착수 시 현재 코드·최신 인수인계를 확인해 재사용 가능 여부를 판단함. 예비일은 발견된 결함 수정용이며 기능 추가 승인이나 공개 배포 승인을 뜻하지 않음.</x:v>
      </x:c>
      <x:c r="C28" s="10" t="str">
        <x:v>진행 중인 기존 기능을 다시 만들지 않음. 착수 시 현재 코드·최신 인수인계를 확인해 재사용 가능 여부를 판단함. 예비일은 발견된 결함 수정용이며 기능 추가 승인이나 공개 배포 승인을 뜻하지 않음.</x:v>
      </x:c>
      <x:c r="D28" s="10" t="str">
        <x:v>진행 중인 기존 기능을 다시 만들지 않음. 착수 시 현재 코드·최신 인수인계를 확인해 재사용 가능 여부를 판단함. 예비일은 발견된 결함 수정용이며 기능 추가 승인이나 공개 배포 승인을 뜻하지 않음.</x:v>
      </x:c>
      <x:c r="E28" s="10" t="str">
        <x:v>진행 중인 기존 기능을 다시 만들지 않음. 착수 시 현재 코드·최신 인수인계를 확인해 재사용 가능 여부를 판단함. 예비일은 발견된 결함 수정용이며 기능 추가 승인이나 공개 배포 승인을 뜻하지 않음.</x:v>
      </x:c>
      <x:c r="F28" s="10" t="str">
        <x:v>진행 중인 기존 기능을 다시 만들지 않음. 착수 시 현재 코드·최신 인수인계를 확인해 재사용 가능 여부를 판단함. 예비일은 발견된 결함 수정용이며 기능 추가 승인이나 공개 배포 승인을 뜻하지 않음.</x:v>
      </x:c>
      <x:c r="G28" s="10" t="str">
        <x:v>진행 중인 기존 기능을 다시 만들지 않음. 착수 시 현재 코드·최신 인수인계를 확인해 재사용 가능 여부를 판단함. 예비일은 발견된 결함 수정용이며 기능 추가 승인이나 공개 배포 승인을 뜻하지 않음.</x:v>
      </x:c>
    </x:row>
    <x:row r="29" ht="29" customHeight="1">
      <x:c r="A29" s="3"/>
      <x:c r="B29" s="3"/>
      <x:c r="C29" s="3"/>
      <x:c r="D29" s="3"/>
      <x:c r="E29" s="3"/>
      <x:c r="F29" s="3"/>
      <x:c r="G29" s="3"/>
    </x:row>
    <x:row r="30" ht="29" customHeight="1">
      <x:c r="A30" s="3" t="str">
        <x:v>계획 출처: Spotlog 추가 개발 전체 47쪽·요약 19쪽, AI 계획 67쪽, 데이터 수급 방안, 최신 로컬 1차 현황. 세부 기능표의 F 번호와 실행 MD의 P 번호를 함께 사용함.</x:v>
      </x:c>
      <x:c r="B30" s="3" t="str">
        <x:v>계획 출처: Spotlog 추가 개발 전체 47쪽·요약 19쪽, AI 계획 67쪽, 데이터 수급 방안, 최신 로컬 1차 현황. 세부 기능표의 F 번호와 실행 MD의 P 번호를 함께 사용함.</x:v>
      </x:c>
      <x:c r="C30" s="3" t="str">
        <x:v>계획 출처: Spotlog 추가 개발 전체 47쪽·요약 19쪽, AI 계획 67쪽, 데이터 수급 방안, 최신 로컬 1차 현황. 세부 기능표의 F 번호와 실행 MD의 P 번호를 함께 사용함.</x:v>
      </x:c>
      <x:c r="D30" s="3" t="str">
        <x:v>계획 출처: Spotlog 추가 개발 전체 47쪽·요약 19쪽, AI 계획 67쪽, 데이터 수급 방안, 최신 로컬 1차 현황. 세부 기능표의 F 번호와 실행 MD의 P 번호를 함께 사용함.</x:v>
      </x:c>
      <x:c r="E30" s="3" t="str">
        <x:v>계획 출처: Spotlog 추가 개발 전체 47쪽·요약 19쪽, AI 계획 67쪽, 데이터 수급 방안, 최신 로컬 1차 현황. 세부 기능표의 F 번호와 실행 MD의 P 번호를 함께 사용함.</x:v>
      </x:c>
      <x:c r="F30" s="3" t="str">
        <x:v>계획 출처: Spotlog 추가 개발 전체 47쪽·요약 19쪽, AI 계획 67쪽, 데이터 수급 방안, 최신 로컬 1차 현황. 세부 기능표의 F 번호와 실행 MD의 P 번호를 함께 사용함.</x:v>
      </x:c>
      <x:c r="G30" s="3" t="str">
        <x:v>계획 출처: Spotlog 추가 개발 전체 47쪽·요약 19쪽, AI 계획 67쪽, 데이터 수급 방안, 최신 로컬 1차 현황. 세부 기능표의 F 번호와 실행 MD의 P 번호를 함께 사용함.</x:v>
      </x:c>
    </x:row>
    <x:row r="31" ht="29" customHeight="1">
      <x:c r="A31" s="3" t="str">
        <x:v>계획 출처: Spotlog 추가 개발 전체 47쪽·요약 19쪽, AI 계획 67쪽, 데이터 수급 방안, 최신 로컬 1차 현황. 세부 기능표의 F 번호와 실행 MD의 P 번호를 함께 사용함.</x:v>
      </x:c>
      <x:c r="B31" s="3" t="str">
        <x:v>계획 출처: Spotlog 추가 개발 전체 47쪽·요약 19쪽, AI 계획 67쪽, 데이터 수급 방안, 최신 로컬 1차 현황. 세부 기능표의 F 번호와 실행 MD의 P 번호를 함께 사용함.</x:v>
      </x:c>
      <x:c r="C31" s="3" t="str">
        <x:v>계획 출처: Spotlog 추가 개발 전체 47쪽·요약 19쪽, AI 계획 67쪽, 데이터 수급 방안, 최신 로컬 1차 현황. 세부 기능표의 F 번호와 실행 MD의 P 번호를 함께 사용함.</x:v>
      </x:c>
      <x:c r="D31" s="3" t="str">
        <x:v>계획 출처: Spotlog 추가 개발 전체 47쪽·요약 19쪽, AI 계획 67쪽, 데이터 수급 방안, 최신 로컬 1차 현황. 세부 기능표의 F 번호와 실행 MD의 P 번호를 함께 사용함.</x:v>
      </x:c>
      <x:c r="E31" s="3" t="str">
        <x:v>계획 출처: Spotlog 추가 개발 전체 47쪽·요약 19쪽, AI 계획 67쪽, 데이터 수급 방안, 최신 로컬 1차 현황. 세부 기능표의 F 번호와 실행 MD의 P 번호를 함께 사용함.</x:v>
      </x:c>
      <x:c r="F31" s="3" t="str">
        <x:v>계획 출처: Spotlog 추가 개발 전체 47쪽·요약 19쪽, AI 계획 67쪽, 데이터 수급 방안, 최신 로컬 1차 현황. 세부 기능표의 F 번호와 실행 MD의 P 번호를 함께 사용함.</x:v>
      </x:c>
      <x:c r="G31" s="3" t="str">
        <x:v>계획 출처: Spotlog 추가 개발 전체 47쪽·요약 19쪽, AI 계획 67쪽, 데이터 수급 방안, 최신 로컬 1차 현황. 세부 기능표의 F 번호와 실행 MD의 P 번호를 함께 사용함.</x:v>
      </x:c>
    </x:row>
    <x:row r="32" ht="29" customHeight="1">
      <x:c r="A32" s="3"/>
      <x:c r="B32" s="3"/>
      <x:c r="C32" s="3"/>
      <x:c r="D32" s="3"/>
      <x:c r="E32" s="3"/>
      <x:c r="F32" s="3"/>
      <x:c r="G32" s="3"/>
    </x:row>
    <x:row r="33" ht="29" customHeight="1">
      <x:c r="A33" s="3"/>
      <x:c r="B33" s="3"/>
      <x:c r="C33" s="3"/>
      <x:c r="D33" s="3"/>
      <x:c r="E33" s="3"/>
      <x:c r="F33" s="3"/>
      <x:c r="G33" s="3"/>
    </x:row>
  </x:sheetData>
  <x:mergeCells>
    <x:mergeCell ref="A1:G2"/>
    <x:mergeCell ref="A3:G3"/>
    <x:mergeCell ref="A7:G8"/>
    <x:mergeCell ref="A16:G16"/>
    <x:mergeCell ref="B17:G17"/>
    <x:mergeCell ref="B18:G18"/>
    <x:mergeCell ref="B19:G19"/>
    <x:mergeCell ref="A21:G22"/>
    <x:mergeCell ref="A24:G25"/>
    <x:mergeCell ref="A27:G28"/>
    <x:mergeCell ref="A30:G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313D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.5" hidden="0" customWidth="1"/>
    <x:col min="2" max="2" width="7.75" hidden="0" customWidth="1"/>
    <x:col min="3" max="3" width="33.75" hidden="0" customWidth="1"/>
    <x:col min="4" max="4" width="16.8799991607666" hidden="0" customWidth="1"/>
    <x:col min="5" max="5" width="8.75" hidden="0" customWidth="1"/>
    <x:col min="6" max="6" width="8.75" hidden="0" customWidth="1"/>
    <x:col min="7" max="7" width="8.75" hidden="0" customWidth="1"/>
    <x:col min="8" max="8" width="14.5" hidden="0" customWidth="1"/>
    <x:col min="9" max="9" width="14.5" hidden="0" customWidth="1"/>
    <x:col min="10" max="10" width="11.25" hidden="0" customWidth="1"/>
    <x:col min="11" max="11" width="10.75" hidden="0" customWidth="1"/>
    <x:col min="12" max="12" width="16.25" hidden="0" customWidth="1"/>
  </x:cols>
  <x:sheetData>
    <x:row r="1" ht="28" customHeight="1">
      <x:c r="A1" s="6" t="str">
        <x:v>기능별 세부 개발 일정</x:v>
      </x:c>
      <x:c r="B1" s="6" t="str">
        <x:v>기능별 세부 개발 일정</x:v>
      </x:c>
      <x:c r="C1" s="6" t="str">
        <x:v>기능별 세부 개발 일정</x:v>
      </x:c>
      <x:c r="D1" s="6" t="str">
        <x:v>기능별 세부 개발 일정</x:v>
      </x:c>
      <x:c r="E1" s="6" t="str">
        <x:v>기능별 세부 개발 일정</x:v>
      </x:c>
      <x:c r="F1" s="6" t="str">
        <x:v>기능별 세부 개발 일정</x:v>
      </x:c>
      <x:c r="G1" s="6" t="str">
        <x:v>기능별 세부 개발 일정</x:v>
      </x:c>
      <x:c r="H1" s="6" t="str">
        <x:v>기능별 세부 개발 일정</x:v>
      </x:c>
      <x:c r="I1" s="6" t="str">
        <x:v>기능별 세부 개발 일정</x:v>
      </x:c>
      <x:c r="J1" s="6" t="str">
        <x:v>기능별 세부 개발 일정</x:v>
      </x:c>
      <x:c r="K1" s="6" t="str">
        <x:v>기능별 세부 개발 일정</x:v>
      </x:c>
      <x:c r="L1" s="6" t="str">
        <x:v>기능별 세부 개발 일정</x:v>
      </x:c>
    </x:row>
    <x:row r="2" ht="29" customHeight="1">
      <x:c r="A2" s="6" t="str">
        <x:v>기능별 세부 개발 일정</x:v>
      </x:c>
      <x:c r="B2" s="6" t="str">
        <x:v>기능별 세부 개발 일정</x:v>
      </x:c>
      <x:c r="C2" s="6" t="str">
        <x:v>기능별 세부 개발 일정</x:v>
      </x:c>
      <x:c r="D2" s="6" t="str">
        <x:v>기능별 세부 개발 일정</x:v>
      </x:c>
      <x:c r="E2" s="6" t="str">
        <x:v>기능별 세부 개발 일정</x:v>
      </x:c>
      <x:c r="F2" s="6" t="str">
        <x:v>기능별 세부 개발 일정</x:v>
      </x:c>
      <x:c r="G2" s="6" t="str">
        <x:v>기능별 세부 개발 일정</x:v>
      </x:c>
      <x:c r="H2" s="6" t="str">
        <x:v>기능별 세부 개발 일정</x:v>
      </x:c>
      <x:c r="I2" s="6" t="str">
        <x:v>기능별 세부 개발 일정</x:v>
      </x:c>
      <x:c r="J2" s="6" t="str">
        <x:v>기능별 세부 개발 일정</x:v>
      </x:c>
      <x:c r="K2" s="6" t="str">
        <x:v>기능별 세부 개발 일정</x:v>
      </x:c>
      <x:c r="L2" s="6" t="str">
        <x:v>기능별 세부 개발 일정</x:v>
      </x:c>
    </x:row>
    <x:row r="3" ht="34" customHeight="1">
      <x:c r="A3" s="8" t="str">
        <x:v>파란색 작업일·예비일·상태를 수정할 수 있음. 위에서 아래로 순차 진행하며 뒤 일정이 자동 이동함.</x:v>
      </x:c>
      <x:c r="B3" s="8" t="str">
        <x:v>파란색 작업일·예비일·상태를 수정할 수 있음. 위에서 아래로 순차 진행하며 뒤 일정이 자동 이동함.</x:v>
      </x:c>
      <x:c r="C3" s="8" t="str">
        <x:v>파란색 작업일·예비일·상태를 수정할 수 있음. 위에서 아래로 순차 진행하며 뒤 일정이 자동 이동함.</x:v>
      </x:c>
      <x:c r="D3" s="8" t="str">
        <x:v>파란색 작업일·예비일·상태를 수정할 수 있음. 위에서 아래로 순차 진행하며 뒤 일정이 자동 이동함.</x:v>
      </x:c>
      <x:c r="E3" s="8" t="str">
        <x:v>파란색 작업일·예비일·상태를 수정할 수 있음. 위에서 아래로 순차 진행하며 뒤 일정이 자동 이동함.</x:v>
      </x:c>
      <x:c r="F3" s="8" t="str">
        <x:v>파란색 작업일·예비일·상태를 수정할 수 있음. 위에서 아래로 순차 진행하며 뒤 일정이 자동 이동함.</x:v>
      </x:c>
      <x:c r="G3" s="8" t="str">
        <x:v>파란색 작업일·예비일·상태를 수정할 수 있음. 위에서 아래로 순차 진행하며 뒤 일정이 자동 이동함.</x:v>
      </x:c>
      <x:c r="H3" s="8" t="str">
        <x:v>파란색 작업일·예비일·상태를 수정할 수 있음. 위에서 아래로 순차 진행하며 뒤 일정이 자동 이동함.</x:v>
      </x:c>
      <x:c r="I3" s="8" t="str">
        <x:v>파란색 작업일·예비일·상태를 수정할 수 있음. 위에서 아래로 순차 진행하며 뒤 일정이 자동 이동함.</x:v>
      </x:c>
      <x:c r="J3" s="8" t="str">
        <x:v>파란색 작업일·예비일·상태를 수정할 수 있음. 위에서 아래로 순차 진행하며 뒤 일정이 자동 이동함.</x:v>
      </x:c>
      <x:c r="K3" s="8" t="str">
        <x:v>파란색 작업일·예비일·상태를 수정할 수 있음. 위에서 아래로 순차 진행하며 뒤 일정이 자동 이동함.</x:v>
      </x:c>
      <x:c r="L3" s="8" t="str">
        <x:v>파란색 작업일·예비일·상태를 수정할 수 있음. 위에서 아래로 순차 진행하며 뒤 일정이 자동 이동함.</x:v>
      </x:c>
    </x:row>
    <x:row r="4" ht="36" customHeight="1">
      <x:c r="A4" s="9" t="str">
        <x:v>작업 ID</x:v>
      </x:c>
      <x:c r="B4" s="9" t="str">
        <x:v>차수</x:v>
      </x:c>
      <x:c r="C4" s="9" t="str">
        <x:v>기능</x:v>
      </x:c>
      <x:c r="D4" s="9" t="str">
        <x:v>착수 시 판단</x:v>
      </x:c>
      <x:c r="E4" s="9" t="str">
        <x:v>작업일</x:v>
      </x:c>
      <x:c r="F4" s="9" t="str">
        <x:v>예비일</x:v>
      </x:c>
      <x:c r="G4" s="9" t="str">
        <x:v>합계일</x:v>
      </x:c>
      <x:c r="H4" s="9" t="str">
        <x:v>시작 예정</x:v>
      </x:c>
      <x:c r="I4" s="9" t="str">
        <x:v>종료 예정</x:v>
      </x:c>
      <x:c r="J4" s="9" t="str">
        <x:v>선행 작업</x:v>
      </x:c>
      <x:c r="K4" s="9" t="str">
        <x:v>진행 상태</x:v>
      </x:c>
      <x:c r="L4" s="9" t="str">
        <x:v>계획서 항목</x:v>
      </x:c>
    </x:row>
    <x:row r="5" ht="48" customHeight="1">
      <x:c r="A5" s="11" t="str">
        <x:v>P1-01</x:v>
      </x:c>
      <x:c r="B5" s="11" t="str">
        <x:v>1차</x:v>
      </x:c>
      <x:c r="C5" s="11" t="str">
        <x:v>기존 구현·기준 화면 확인</x:v>
      </x:c>
      <x:c r="D5" s="11" t="str">
        <x:v>기존 활용</x:v>
      </x:c>
      <x:c r="E5" s="42" t="n">
        <x:v>1</x:v>
      </x:c>
      <x:c r="F5" s="42" t="n">
        <x:v>0</x:v>
      </x:c>
      <x:c r="G5" s="36" t="n">
        <x:f>SUM(E5:F5)</x:f>
        <x:v>1</x:v>
      </x:c>
      <x:c r="H5" s="46" t="n">
        <x:f>WORKDAY('전체 일정'!$A$5-1,1,'휴일·출처'!$A$5:$A$104)</x:f>
        <x:v>46280</x:v>
      </x:c>
      <x:c r="I5" s="46" t="n">
        <x:f>WORKDAY(H5-1,G5,'휴일·출처'!$A$5:$A$104)</x:f>
        <x:v>46280</x:v>
      </x:c>
      <x:c r="J5" s="47" t="str">
        <x:v>시작</x:v>
      </x:c>
      <x:c r="K5" s="18" t="str">
        <x:v>대기</x:v>
      </x:c>
      <x:c r="L5" s="11" t="str">
        <x:v>F01–F06·F20</x:v>
      </x:c>
    </x:row>
    <x:row r="6" ht="48" customHeight="1">
      <x:c r="A6" s="13" t="str">
        <x:v>P1-02</x:v>
      </x:c>
      <x:c r="B6" s="13" t="str">
        <x:v>1차</x:v>
      </x:c>
      <x:c r="C6" s="13" t="str">
        <x:v>폰트·버튼·하단 팝업 역할 점검</x:v>
      </x:c>
      <x:c r="D6" s="13" t="str">
        <x:v>기존 보완</x:v>
      </x:c>
      <x:c r="E6" s="42" t="n">
        <x:v>2</x:v>
      </x:c>
      <x:c r="F6" s="42" t="n">
        <x:v>0</x:v>
      </x:c>
      <x:c r="G6" s="37" t="n">
        <x:f>SUM(E6:F6)</x:f>
        <x:v>2</x:v>
      </x:c>
      <x:c r="H6" s="48" t="n">
        <x:f>WORKDAY(I5,1,'휴일·출처'!$A$5:$A$104)</x:f>
        <x:v>46281</x:v>
      </x:c>
      <x:c r="I6" s="48" t="n">
        <x:f>WORKDAY(H6-1,G6,'휴일·출처'!$A$5:$A$104)</x:f>
        <x:v>46282</x:v>
      </x:c>
      <x:c r="J6" s="49" t="str">
        <x:v>P1-01</x:v>
      </x:c>
      <x:c r="K6" s="20" t="str">
        <x:v>대기</x:v>
      </x:c>
      <x:c r="L6" s="13" t="str">
        <x:v>F06</x:v>
      </x:c>
    </x:row>
    <x:row r="7" ht="48" customHeight="1">
      <x:c r="A7" s="11" t="str">
        <x:v>P1-03</x:v>
      </x:c>
      <x:c r="B7" s="11" t="str">
        <x:v>1차</x:v>
      </x:c>
      <x:c r="C7" s="11" t="str">
        <x:v>로컬 저장·방문 ID·백업 검수</x:v>
      </x:c>
      <x:c r="D7" s="11" t="str">
        <x:v>기존 보완</x:v>
      </x:c>
      <x:c r="E7" s="42" t="n">
        <x:v>2</x:v>
      </x:c>
      <x:c r="F7" s="42" t="n">
        <x:v>0</x:v>
      </x:c>
      <x:c r="G7" s="36" t="n">
        <x:f>SUM(E7:F7)</x:f>
        <x:v>2</x:v>
      </x:c>
      <x:c r="H7" s="46" t="n">
        <x:f>WORKDAY(I6,1,'휴일·출처'!$A$5:$A$104)</x:f>
        <x:v>46283</x:v>
      </x:c>
      <x:c r="I7" s="46" t="n">
        <x:f>WORKDAY(H7-1,G7,'휴일·출처'!$A$5:$A$104)</x:f>
        <x:v>46286</x:v>
      </x:c>
      <x:c r="J7" s="47" t="str">
        <x:v>P1-02</x:v>
      </x:c>
      <x:c r="K7" s="18" t="str">
        <x:v>대기</x:v>
      </x:c>
      <x:c r="L7" s="11" t="str">
        <x:v>F05</x:v>
      </x:c>
    </x:row>
    <x:row r="8" ht="48" customHeight="1">
      <x:c r="A8" s="13" t="str">
        <x:v>P1-04</x:v>
      </x:c>
      <x:c r="B8" s="13" t="str">
        <x:v>1차</x:v>
      </x:c>
      <x:c r="C8" s="13" t="str">
        <x:v>검색·지역 필터·목록 복원</x:v>
      </x:c>
      <x:c r="D8" s="13" t="str">
        <x:v>기존 보완</x:v>
      </x:c>
      <x:c r="E8" s="42" t="n">
        <x:v>1</x:v>
      </x:c>
      <x:c r="F8" s="42" t="n">
        <x:v>0</x:v>
      </x:c>
      <x:c r="G8" s="37" t="n">
        <x:f>SUM(E8:F8)</x:f>
        <x:v>1</x:v>
      </x:c>
      <x:c r="H8" s="48" t="n">
        <x:f>WORKDAY(I7,1,'휴일·출처'!$A$5:$A$104)</x:f>
        <x:v>46287</x:v>
      </x:c>
      <x:c r="I8" s="48" t="n">
        <x:f>WORKDAY(H8-1,G8,'휴일·출처'!$A$5:$A$104)</x:f>
        <x:v>46287</x:v>
      </x:c>
      <x:c r="J8" s="49" t="str">
        <x:v>P1-03</x:v>
      </x:c>
      <x:c r="K8" s="20" t="str">
        <x:v>대기</x:v>
      </x:c>
      <x:c r="L8" s="13" t="str">
        <x:v>F01</x:v>
      </x:c>
    </x:row>
    <x:row r="9" ht="48" customHeight="1">
      <x:c r="A9" s="11" t="str">
        <x:v>P1-05</x:v>
      </x:c>
      <x:c r="B9" s="11" t="str">
        <x:v>1차</x:v>
      </x:c>
      <x:c r="C9" s="11" t="str">
        <x:v>저장 목록·여행 만들기 진입</x:v>
      </x:c>
      <x:c r="D9" s="11" t="str">
        <x:v>기존 보완</x:v>
      </x:c>
      <x:c r="E9" s="42" t="n">
        <x:v>1</x:v>
      </x:c>
      <x:c r="F9" s="42" t="n">
        <x:v>0</x:v>
      </x:c>
      <x:c r="G9" s="36" t="n">
        <x:f>SUM(E9:F9)</x:f>
        <x:v>1</x:v>
      </x:c>
      <x:c r="H9" s="46" t="n">
        <x:f>WORKDAY(I8,1,'휴일·출처'!$A$5:$A$104)</x:f>
        <x:v>46288</x:v>
      </x:c>
      <x:c r="I9" s="46" t="n">
        <x:f>WORKDAY(H9-1,G9,'휴일·출처'!$A$5:$A$104)</x:f>
        <x:v>46288</x:v>
      </x:c>
      <x:c r="J9" s="47" t="str">
        <x:v>P1-04</x:v>
      </x:c>
      <x:c r="K9" s="18" t="str">
        <x:v>대기</x:v>
      </x:c>
      <x:c r="L9" s="11" t="str">
        <x:v>F02</x:v>
      </x:c>
    </x:row>
    <x:row r="10" ht="48" customHeight="1">
      <x:c r="A10" s="13" t="str">
        <x:v>P1-06</x:v>
      </x:c>
      <x:c r="B10" s="13" t="str">
        <x:v>1차</x:v>
      </x:c>
      <x:c r="C10" s="13" t="str">
        <x:v>기간·시작일·여행·DAY 선택</x:v>
      </x:c>
      <x:c r="D10" s="13" t="str">
        <x:v>로컬 구현 검수</x:v>
      </x:c>
      <x:c r="E10" s="42" t="n">
        <x:v>2</x:v>
      </x:c>
      <x:c r="F10" s="42" t="n">
        <x:v>0</x:v>
      </x:c>
      <x:c r="G10" s="37" t="n">
        <x:f>SUM(E10:F10)</x:f>
        <x:v>2</x:v>
      </x:c>
      <x:c r="H10" s="48" t="n">
        <x:f>WORKDAY(I9,1,'휴일·출처'!$A$5:$A$104)</x:f>
        <x:v>46293</x:v>
      </x:c>
      <x:c r="I10" s="48" t="n">
        <x:f>WORKDAY(H10-1,G10,'휴일·출처'!$A$5:$A$104)</x:f>
        <x:v>46294</x:v>
      </x:c>
      <x:c r="J10" s="49" t="str">
        <x:v>P1-05</x:v>
      </x:c>
      <x:c r="K10" s="20" t="str">
        <x:v>대기</x:v>
      </x:c>
      <x:c r="L10" s="13" t="str">
        <x:v>F03</x:v>
      </x:c>
    </x:row>
    <x:row r="11" ht="48" customHeight="1">
      <x:c r="A11" s="11" t="str">
        <x:v>P1-07</x:v>
      </x:c>
      <x:c r="B11" s="11" t="str">
        <x:v>1차</x:v>
      </x:c>
      <x:c r="C11" s="11" t="str">
        <x:v>저장·담김·해제·재방문 일치</x:v>
      </x:c>
      <x:c r="D11" s="11" t="str">
        <x:v>로컬 구현 검수</x:v>
      </x:c>
      <x:c r="E11" s="42" t="n">
        <x:v>1</x:v>
      </x:c>
      <x:c r="F11" s="42" t="n">
        <x:v>0</x:v>
      </x:c>
      <x:c r="G11" s="36" t="n">
        <x:f>SUM(E11:F11)</x:f>
        <x:v>1</x:v>
      </x:c>
      <x:c r="H11" s="46" t="n">
        <x:f>WORKDAY(I10,1,'휴일·출처'!$A$5:$A$104)</x:f>
        <x:v>46295</x:v>
      </x:c>
      <x:c r="I11" s="46" t="n">
        <x:f>WORKDAY(H11-1,G11,'휴일·출처'!$A$5:$A$104)</x:f>
        <x:v>46295</x:v>
      </x:c>
      <x:c r="J11" s="47" t="str">
        <x:v>P1-06</x:v>
      </x:c>
      <x:c r="K11" s="18" t="str">
        <x:v>대기</x:v>
      </x:c>
      <x:c r="L11" s="11" t="str">
        <x:v>F04</x:v>
      </x:c>
    </x:row>
    <x:row r="12" ht="48" customHeight="1">
      <x:c r="A12" s="13" t="str">
        <x:v>P1-08</x:v>
      </x:c>
      <x:c r="B12" s="13" t="str">
        <x:v>1차</x:v>
      </x:c>
      <x:c r="C12" s="13" t="str">
        <x:v>사진 쇼츠의 장소·사진 전환</x:v>
      </x:c>
      <x:c r="D12" s="13" t="str">
        <x:v>로컬 구현 검수</x:v>
      </x:c>
      <x:c r="E12" s="42" t="n">
        <x:v>1</x:v>
      </x:c>
      <x:c r="F12" s="42" t="n">
        <x:v>0</x:v>
      </x:c>
      <x:c r="G12" s="37" t="n">
        <x:f>SUM(E12:F12)</x:f>
        <x:v>1</x:v>
      </x:c>
      <x:c r="H12" s="48" t="n">
        <x:f>WORKDAY(I11,1,'휴일·출처'!$A$5:$A$104)</x:f>
        <x:v>46296</x:v>
      </x:c>
      <x:c r="I12" s="48" t="n">
        <x:f>WORKDAY(H12-1,G12,'휴일·출처'!$A$5:$A$104)</x:f>
        <x:v>46296</x:v>
      </x:c>
      <x:c r="J12" s="49" t="str">
        <x:v>P1-07</x:v>
      </x:c>
      <x:c r="K12" s="20" t="str">
        <x:v>대기</x:v>
      </x:c>
      <x:c r="L12" s="13" t="str">
        <x:v>F20</x:v>
      </x:c>
    </x:row>
    <x:row r="13" ht="48" customHeight="1">
      <x:c r="A13" s="11" t="str">
        <x:v>P1-09</x:v>
      </x:c>
      <x:c r="B13" s="11" t="str">
        <x:v>1차</x:v>
      </x:c>
      <x:c r="C13" s="11" t="str">
        <x:v>큰 랜드마크 카드의 사진 갤러리</x:v>
      </x:c>
      <x:c r="D13" s="11" t="str">
        <x:v>신규 구현</x:v>
      </x:c>
      <x:c r="E13" s="42" t="n">
        <x:v>3</x:v>
      </x:c>
      <x:c r="F13" s="42" t="n">
        <x:v>0</x:v>
      </x:c>
      <x:c r="G13" s="36" t="n">
        <x:f>SUM(E13:F13)</x:f>
        <x:v>3</x:v>
      </x:c>
      <x:c r="H13" s="46" t="n">
        <x:f>WORKDAY(I12,1,'휴일·출처'!$A$5:$A$104)</x:f>
        <x:v>46297</x:v>
      </x:c>
      <x:c r="I13" s="46" t="n">
        <x:f>WORKDAY(H13-1,G13,'휴일·출처'!$A$5:$A$104)</x:f>
        <x:v>46302</x:v>
      </x:c>
      <x:c r="J13" s="47" t="str">
        <x:v>P1-08</x:v>
      </x:c>
      <x:c r="K13" s="18" t="str">
        <x:v>대기</x:v>
      </x:c>
      <x:c r="L13" s="11" t="str">
        <x:v>F20·수급 §7</x:v>
      </x:c>
    </x:row>
    <x:row r="14" ht="48" customHeight="1">
      <x:c r="A14" s="13" t="str">
        <x:v>P1-10</x:v>
      </x:c>
      <x:c r="B14" s="13" t="str">
        <x:v>1차</x:v>
      </x:c>
      <x:c r="C14" s="13" t="str">
        <x:v>안내·AI·담기 카드 갤러리 연결</x:v>
      </x:c>
      <x:c r="D14" s="13" t="str">
        <x:v>신규 연결</x:v>
      </x:c>
      <x:c r="E14" s="42" t="n">
        <x:v>1</x:v>
      </x:c>
      <x:c r="F14" s="42" t="n">
        <x:v>0</x:v>
      </x:c>
      <x:c r="G14" s="37" t="n">
        <x:f>SUM(E14:F14)</x:f>
        <x:v>1</x:v>
      </x:c>
      <x:c r="H14" s="48" t="n">
        <x:f>WORKDAY(I13,1,'휴일·출처'!$A$5:$A$104)</x:f>
        <x:v>46303</x:v>
      </x:c>
      <x:c r="I14" s="48" t="n">
        <x:f>WORKDAY(H14-1,G14,'휴일·출처'!$A$5:$A$104)</x:f>
        <x:v>46303</x:v>
      </x:c>
      <x:c r="J14" s="49" t="str">
        <x:v>P1-09</x:v>
      </x:c>
      <x:c r="K14" s="20" t="str">
        <x:v>대기</x:v>
      </x:c>
      <x:c r="L14" s="13" t="str">
        <x:v>F20·추가 결정</x:v>
      </x:c>
    </x:row>
    <x:row r="15" ht="48" customHeight="1">
      <x:c r="A15" s="11" t="str">
        <x:v>P1-11</x:v>
      </x:c>
      <x:c r="B15" s="11" t="str">
        <x:v>1차</x:v>
      </x:c>
      <x:c r="C15" s="11" t="str">
        <x:v>홈 AI 글 입력·사진 초안 승인</x:v>
      </x:c>
      <x:c r="D15" s="11" t="str">
        <x:v>로컬 구현 검수</x:v>
      </x:c>
      <x:c r="E15" s="42" t="n">
        <x:v>2</x:v>
      </x:c>
      <x:c r="F15" s="42" t="n">
        <x:v>0</x:v>
      </x:c>
      <x:c r="G15" s="36" t="n">
        <x:f>SUM(E15:F15)</x:f>
        <x:v>2</x:v>
      </x:c>
      <x:c r="H15" s="46" t="n">
        <x:f>WORKDAY(I14,1,'휴일·출처'!$A$5:$A$104)</x:f>
        <x:v>46307</x:v>
      </x:c>
      <x:c r="I15" s="46" t="n">
        <x:f>WORKDAY(H15-1,G15,'휴일·출처'!$A$5:$A$104)</x:f>
        <x:v>46308</x:v>
      </x:c>
      <x:c r="J15" s="47" t="str">
        <x:v>P1-10</x:v>
      </x:c>
      <x:c r="K15" s="18" t="str">
        <x:v>대기</x:v>
      </x:c>
      <x:c r="L15" s="11" t="str">
        <x:v>추가 결정·F13 준비</x:v>
      </x:c>
    </x:row>
    <x:row r="16" ht="48" customHeight="1">
      <x:c r="A16" s="13" t="str">
        <x:v>P1-12</x:v>
      </x:c>
      <x:c r="B16" s="13" t="str">
        <x:v>1차</x:v>
      </x:c>
      <x:c r="C16" s="13" t="str">
        <x:v>권리·좌표·사진 샘플 점검</x:v>
      </x:c>
      <x:c r="D16" s="13" t="str">
        <x:v>기존 활용·보완</x:v>
      </x:c>
      <x:c r="E16" s="42" t="n">
        <x:v>3</x:v>
      </x:c>
      <x:c r="F16" s="42" t="n">
        <x:v>0</x:v>
      </x:c>
      <x:c r="G16" s="37" t="n">
        <x:f>SUM(E16:F16)</x:f>
        <x:v>3</x:v>
      </x:c>
      <x:c r="H16" s="48" t="n">
        <x:f>WORKDAY(I15,1,'휴일·출처'!$A$5:$A$104)</x:f>
        <x:v>46309</x:v>
      </x:c>
      <x:c r="I16" s="48" t="n">
        <x:f>WORKDAY(H16-1,G16,'휴일·출처'!$A$5:$A$104)</x:f>
        <x:v>46311</x:v>
      </x:c>
      <x:c r="J16" s="49" t="str">
        <x:v>P1-11</x:v>
      </x:c>
      <x:c r="K16" s="20" t="str">
        <x:v>대기</x:v>
      </x:c>
      <x:c r="L16" s="13" t="str">
        <x:v>수급 §3·§6·추가 결정</x:v>
      </x:c>
    </x:row>
    <x:row r="17" ht="48" customHeight="1">
      <x:c r="A17" s="11" t="str">
        <x:v>P1-13</x:v>
      </x:c>
      <x:c r="B17" s="11" t="str">
        <x:v>1차</x:v>
      </x:c>
      <x:c r="C17" s="11" t="str">
        <x:v>AI 추천 여행 목록·개인 복사 구분</x:v>
      </x:c>
      <x:c r="D17" s="11" t="str">
        <x:v>공개 구현 검수</x:v>
      </x:c>
      <x:c r="E17" s="42" t="n">
        <x:v>1</x:v>
      </x:c>
      <x:c r="F17" s="42" t="n">
        <x:v>0</x:v>
      </x:c>
      <x:c r="G17" s="36" t="n">
        <x:f>SUM(E17:F17)</x:f>
        <x:v>1</x:v>
      </x:c>
      <x:c r="H17" s="46" t="n">
        <x:f>WORKDAY(I16,1,'휴일·출처'!$A$5:$A$104)</x:f>
        <x:v>46314</x:v>
      </x:c>
      <x:c r="I17" s="46" t="n">
        <x:f>WORKDAY(H17-1,G17,'휴일·출처'!$A$5:$A$104)</x:f>
        <x:v>46314</x:v>
      </x:c>
      <x:c r="J17" s="47" t="str">
        <x:v>P1-12</x:v>
      </x:c>
      <x:c r="K17" s="18" t="str">
        <x:v>대기</x:v>
      </x:c>
      <x:c r="L17" s="11" t="str">
        <x:v>추가 결정</x:v>
      </x:c>
    </x:row>
    <x:row r="18" ht="48" customHeight="1">
      <x:c r="A18" s="13" t="str">
        <x:v>P1-14</x:v>
      </x:c>
      <x:c r="B18" s="13" t="str">
        <x:v>1차</x:v>
      </x:c>
      <x:c r="C18" s="13" t="str">
        <x:v>1차 통합·모바일·Android 검수</x:v>
      </x:c>
      <x:c r="D18" s="13" t="str">
        <x:v>통합 검수</x:v>
      </x:c>
      <x:c r="E18" s="42" t="n">
        <x:v>3</x:v>
      </x:c>
      <x:c r="F18" s="42" t="n">
        <x:v>0</x:v>
      </x:c>
      <x:c r="G18" s="37" t="n">
        <x:f>SUM(E18:F18)</x:f>
        <x:v>3</x:v>
      </x:c>
      <x:c r="H18" s="48" t="n">
        <x:f>WORKDAY(I17,1,'휴일·출처'!$A$5:$A$104)</x:f>
        <x:v>46315</x:v>
      </x:c>
      <x:c r="I18" s="48" t="n">
        <x:f>WORKDAY(H18-1,G18,'휴일·출처'!$A$5:$A$104)</x:f>
        <x:v>46317</x:v>
      </x:c>
      <x:c r="J18" s="49" t="str">
        <x:v>P1-13</x:v>
      </x:c>
      <x:c r="K18" s="20" t="str">
        <x:v>대기</x:v>
      </x:c>
      <x:c r="L18" s="13" t="str">
        <x:v>F01–F06·F20</x:v>
      </x:c>
    </x:row>
    <x:row r="19" ht="48" customHeight="1">
      <x:c r="A19" s="28" t="str">
        <x:v>P1-15</x:v>
      </x:c>
      <x:c r="B19" s="28" t="str">
        <x:v>1차</x:v>
      </x:c>
      <x:c r="C19" s="28" t="str">
        <x:v>1차 수정 여유·완료 인계</x:v>
      </x:c>
      <x:c r="D19" s="28" t="str">
        <x:v>예비·인계</x:v>
      </x:c>
      <x:c r="E19" s="42" t="n">
        <x:v>0</x:v>
      </x:c>
      <x:c r="F19" s="42" t="n">
        <x:v>6</x:v>
      </x:c>
      <x:c r="G19" s="38" t="n">
        <x:f>SUM(E19:F19)</x:f>
        <x:v>6</x:v>
      </x:c>
      <x:c r="H19" s="50" t="n">
        <x:f>WORKDAY(I18,1,'휴일·출처'!$A$5:$A$104)</x:f>
        <x:v>46318</x:v>
      </x:c>
      <x:c r="I19" s="50" t="n">
        <x:f>WORKDAY(H19-1,G19,'휴일·출처'!$A$5:$A$104)</x:f>
        <x:v>46325</x:v>
      </x:c>
      <x:c r="J19" s="51" t="str">
        <x:v>P1-14</x:v>
      </x:c>
      <x:c r="K19" s="43" t="str">
        <x:v>대기</x:v>
      </x:c>
      <x:c r="L19" s="28" t="str">
        <x:v>1차 완료 조건</x:v>
      </x:c>
    </x:row>
    <x:row r="20" ht="48" customHeight="1">
      <x:c r="A20" s="13" t="str">
        <x:v>P2-01</x:v>
      </x:c>
      <x:c r="B20" s="13" t="str">
        <x:v>2차</x:v>
      </x:c>
      <x:c r="C20" s="13" t="str">
        <x:v>작성·방문·카드 관계 확정</x:v>
      </x:c>
      <x:c r="D20" s="13" t="str">
        <x:v>기존 확장</x:v>
      </x:c>
      <x:c r="E20" s="42" t="n">
        <x:v>2</x:v>
      </x:c>
      <x:c r="F20" s="42" t="n">
        <x:v>0</x:v>
      </x:c>
      <x:c r="G20" s="37" t="n">
        <x:f>SUM(E20:F20)</x:f>
        <x:v>2</x:v>
      </x:c>
      <x:c r="H20" s="48" t="n">
        <x:f>WORKDAY(I19,1,'휴일·출처'!$A$5:$A$104)</x:f>
        <x:v>46328</x:v>
      </x:c>
      <x:c r="I20" s="48" t="n">
        <x:f>WORKDAY(H20-1,G20,'휴일·출처'!$A$5:$A$104)</x:f>
        <x:v>46329</x:v>
      </x:c>
      <x:c r="J20" s="49" t="str">
        <x:v>P1-15</x:v>
      </x:c>
      <x:c r="K20" s="20" t="str">
        <x:v>대기</x:v>
      </x:c>
      <x:c r="L20" s="13" t="str">
        <x:v>F07–F12·F19</x:v>
      </x:c>
    </x:row>
    <x:row r="21" ht="48" customHeight="1">
      <x:c r="A21" s="11" t="str">
        <x:v>P2-02</x:v>
      </x:c>
      <x:c r="B21" s="11" t="str">
        <x:v>2차</x:v>
      </x:c>
      <x:c r="C21" s="11" t="str">
        <x:v>자동 임시 저장·복구</x:v>
      </x:c>
      <x:c r="D21" s="11" t="str">
        <x:v>기존 보완</x:v>
      </x:c>
      <x:c r="E21" s="42" t="n">
        <x:v>3</x:v>
      </x:c>
      <x:c r="F21" s="42" t="n">
        <x:v>0</x:v>
      </x:c>
      <x:c r="G21" s="36" t="n">
        <x:f>SUM(E21:F21)</x:f>
        <x:v>3</x:v>
      </x:c>
      <x:c r="H21" s="46" t="n">
        <x:f>WORKDAY(I20,1,'휴일·출처'!$A$5:$A$104)</x:f>
        <x:v>46330</x:v>
      </x:c>
      <x:c r="I21" s="46" t="n">
        <x:f>WORKDAY(H21-1,G21,'휴일·출처'!$A$5:$A$104)</x:f>
        <x:v>46332</x:v>
      </x:c>
      <x:c r="J21" s="47" t="str">
        <x:v>P2-01</x:v>
      </x:c>
      <x:c r="K21" s="18" t="str">
        <x:v>대기</x:v>
      </x:c>
      <x:c r="L21" s="11" t="str">
        <x:v>F07</x:v>
      </x:c>
    </x:row>
    <x:row r="22" ht="48" customHeight="1">
      <x:c r="A22" s="13" t="str">
        <x:v>P2-03</x:v>
      </x:c>
      <x:c r="B22" s="13" t="str">
        <x:v>2차</x:v>
      </x:c>
      <x:c r="C22" s="13" t="str">
        <x:v>사진 여러 장·순서·설명·대표 사진</x:v>
      </x:c>
      <x:c r="D22" s="13" t="str">
        <x:v>기존 보완</x:v>
      </x:c>
      <x:c r="E22" s="42" t="n">
        <x:v>2</x:v>
      </x:c>
      <x:c r="F22" s="42" t="n">
        <x:v>0</x:v>
      </x:c>
      <x:c r="G22" s="37" t="n">
        <x:f>SUM(E22:F22)</x:f>
        <x:v>2</x:v>
      </x:c>
      <x:c r="H22" s="48" t="n">
        <x:f>WORKDAY(I21,1,'휴일·출처'!$A$5:$A$104)</x:f>
        <x:v>46335</x:v>
      </x:c>
      <x:c r="I22" s="48" t="n">
        <x:f>WORKDAY(H22-1,G22,'휴일·출처'!$A$5:$A$104)</x:f>
        <x:v>46336</x:v>
      </x:c>
      <x:c r="J22" s="49" t="str">
        <x:v>P2-02</x:v>
      </x:c>
      <x:c r="K22" s="20" t="str">
        <x:v>대기</x:v>
      </x:c>
      <x:c r="L22" s="13" t="str">
        <x:v>F08</x:v>
      </x:c>
    </x:row>
    <x:row r="23" ht="48" customHeight="1">
      <x:c r="A23" s="11" t="str">
        <x:v>P2-04</x:v>
      </x:c>
      <x:c r="B23" s="11" t="str">
        <x:v>2차</x:v>
      </x:c>
      <x:c r="C23" s="11" t="str">
        <x:v>글·사진·업체·랜드마크 블록 편집</x:v>
      </x:c>
      <x:c r="D23" s="11" t="str">
        <x:v>기존 보완</x:v>
      </x:c>
      <x:c r="E23" s="42" t="n">
        <x:v>2</x:v>
      </x:c>
      <x:c r="F23" s="42" t="n">
        <x:v>0</x:v>
      </x:c>
      <x:c r="G23" s="36" t="n">
        <x:f>SUM(E23:F23)</x:f>
        <x:v>2</x:v>
      </x:c>
      <x:c r="H23" s="46" t="n">
        <x:f>WORKDAY(I22,1,'휴일·출처'!$A$5:$A$104)</x:f>
        <x:v>46337</x:v>
      </x:c>
      <x:c r="I23" s="46" t="n">
        <x:f>WORKDAY(H23-1,G23,'휴일·출처'!$A$5:$A$104)</x:f>
        <x:v>46338</x:v>
      </x:c>
      <x:c r="J23" s="47" t="str">
        <x:v>P2-03</x:v>
      </x:c>
      <x:c r="K23" s="18" t="str">
        <x:v>대기</x:v>
      </x:c>
      <x:c r="L23" s="11" t="str">
        <x:v>F08·F19</x:v>
      </x:c>
    </x:row>
    <x:row r="24" ht="48" customHeight="1">
      <x:c r="A24" s="13" t="str">
        <x:v>P2-05</x:v>
      </x:c>
      <x:c r="B24" s="13" t="str">
        <x:v>2차</x:v>
      </x:c>
      <x:c r="C24" s="13" t="str">
        <x:v>DAY 간 이동·연결 항목 보존</x:v>
      </x:c>
      <x:c r="D24" s="13" t="str">
        <x:v>기존 보완</x:v>
      </x:c>
      <x:c r="E24" s="42" t="n">
        <x:v>2</x:v>
      </x:c>
      <x:c r="F24" s="42" t="n">
        <x:v>0</x:v>
      </x:c>
      <x:c r="G24" s="37" t="n">
        <x:f>SUM(E24:F24)</x:f>
        <x:v>2</x:v>
      </x:c>
      <x:c r="H24" s="48" t="n">
        <x:f>WORKDAY(I23,1,'휴일·출처'!$A$5:$A$104)</x:f>
        <x:v>46339</x:v>
      </x:c>
      <x:c r="I24" s="48" t="n">
        <x:f>WORKDAY(H24-1,G24,'휴일·출처'!$A$5:$A$104)</x:f>
        <x:v>46342</x:v>
      </x:c>
      <x:c r="J24" s="49" t="str">
        <x:v>P2-04</x:v>
      </x:c>
      <x:c r="K24" s="20" t="str">
        <x:v>대기</x:v>
      </x:c>
      <x:c r="L24" s="13" t="str">
        <x:v>F09</x:v>
      </x:c>
    </x:row>
    <x:row r="25" ht="48" customHeight="1">
      <x:c r="A25" s="11" t="str">
        <x:v>P2-06</x:v>
      </x:c>
      <x:c r="B25" s="11" t="str">
        <x:v>2차</x:v>
      </x:c>
      <x:c r="C25" s="11" t="str">
        <x:v>여행·하루·장소 독립 복사</x:v>
      </x:c>
      <x:c r="D25" s="11" t="str">
        <x:v>기존 보완</x:v>
      </x:c>
      <x:c r="E25" s="42" t="n">
        <x:v>2</x:v>
      </x:c>
      <x:c r="F25" s="42" t="n">
        <x:v>0</x:v>
      </x:c>
      <x:c r="G25" s="36" t="n">
        <x:f>SUM(E25:F25)</x:f>
        <x:v>2</x:v>
      </x:c>
      <x:c r="H25" s="46" t="n">
        <x:f>WORKDAY(I24,1,'휴일·출처'!$A$5:$A$104)</x:f>
        <x:v>46343</x:v>
      </x:c>
      <x:c r="I25" s="46" t="n">
        <x:f>WORKDAY(H25-1,G25,'휴일·출처'!$A$5:$A$104)</x:f>
        <x:v>46344</x:v>
      </x:c>
      <x:c r="J25" s="47" t="str">
        <x:v>P2-05</x:v>
      </x:c>
      <x:c r="K25" s="18" t="str">
        <x:v>대기</x:v>
      </x:c>
      <x:c r="L25" s="11" t="str">
        <x:v>F10</x:v>
      </x:c>
    </x:row>
    <x:row r="26" ht="48" customHeight="1">
      <x:c r="A26" s="13" t="str">
        <x:v>P2-07</x:v>
      </x:c>
      <x:c r="B26" s="13" t="str">
        <x:v>2차</x:v>
      </x:c>
      <x:c r="C26" s="13" t="str">
        <x:v>삭제 복구·마지막 변경 취소</x:v>
      </x:c>
      <x:c r="D26" s="13" t="str">
        <x:v>기존 확장</x:v>
      </x:c>
      <x:c r="E26" s="42" t="n">
        <x:v>2</x:v>
      </x:c>
      <x:c r="F26" s="42" t="n">
        <x:v>0</x:v>
      </x:c>
      <x:c r="G26" s="37" t="n">
        <x:f>SUM(E26:F26)</x:f>
        <x:v>2</x:v>
      </x:c>
      <x:c r="H26" s="48" t="n">
        <x:f>WORKDAY(I25,1,'휴일·출처'!$A$5:$A$104)</x:f>
        <x:v>46345</x:v>
      </x:c>
      <x:c r="I26" s="48" t="n">
        <x:f>WORKDAY(H26-1,G26,'휴일·출처'!$A$5:$A$104)</x:f>
        <x:v>46346</x:v>
      </x:c>
      <x:c r="J26" s="49" t="str">
        <x:v>P2-06</x:v>
      </x:c>
      <x:c r="K26" s="20" t="str">
        <x:v>대기</x:v>
      </x:c>
      <x:c r="L26" s="13" t="str">
        <x:v>F11</x:v>
      </x:c>
    </x:row>
    <x:row r="27" ht="48" customHeight="1">
      <x:c r="A27" s="11" t="str">
        <x:v>P2-08</x:v>
      </x:c>
      <x:c r="B27" s="11" t="str">
        <x:v>2차</x:v>
      </x:c>
      <x:c r="C27" s="11" t="str">
        <x:v>스팟 주변 음식점·카페 추가 팝업</x:v>
      </x:c>
      <x:c r="D27" s="11" t="str">
        <x:v>신규 구현</x:v>
      </x:c>
      <x:c r="E27" s="42" t="n">
        <x:v>3</x:v>
      </x:c>
      <x:c r="F27" s="42" t="n">
        <x:v>0</x:v>
      </x:c>
      <x:c r="G27" s="36" t="n">
        <x:f>SUM(E27:F27)</x:f>
        <x:v>3</x:v>
      </x:c>
      <x:c r="H27" s="46" t="n">
        <x:f>WORKDAY(I26,1,'휴일·출처'!$A$5:$A$104)</x:f>
        <x:v>46349</x:v>
      </x:c>
      <x:c r="I27" s="46" t="n">
        <x:f>WORKDAY(H27-1,G27,'휴일·출처'!$A$5:$A$104)</x:f>
        <x:v>46351</x:v>
      </x:c>
      <x:c r="J27" s="47" t="str">
        <x:v>P2-07</x:v>
      </x:c>
      <x:c r="K27" s="18" t="str">
        <x:v>대기</x:v>
      </x:c>
      <x:c r="L27" s="11" t="str">
        <x:v>스팟 보완·F08</x:v>
      </x:c>
    </x:row>
    <x:row r="28" ht="48" customHeight="1">
      <x:c r="A28" s="13" t="str">
        <x:v>P2-09</x:v>
      </x:c>
      <x:c r="B28" s="13" t="str">
        <x:v>2차</x:v>
      </x:c>
      <x:c r="C28" s="13" t="str">
        <x:v>숙박 DAY 거점·연박·예약 고정</x:v>
      </x:c>
      <x:c r="D28" s="13" t="str">
        <x:v>신규 구현</x:v>
      </x:c>
      <x:c r="E28" s="42" t="n">
        <x:v>2</x:v>
      </x:c>
      <x:c r="F28" s="42" t="n">
        <x:v>0</x:v>
      </x:c>
      <x:c r="G28" s="37" t="n">
        <x:f>SUM(E28:F28)</x:f>
        <x:v>2</x:v>
      </x:c>
      <x:c r="H28" s="48" t="n">
        <x:f>WORKDAY(I27,1,'휴일·출처'!$A$5:$A$104)</x:f>
        <x:v>46352</x:v>
      </x:c>
      <x:c r="I28" s="48" t="n">
        <x:f>WORKDAY(H28-1,G28,'휴일·출처'!$A$5:$A$104)</x:f>
        <x:v>46353</x:v>
      </x:c>
      <x:c r="J28" s="49" t="str">
        <x:v>P2-08</x:v>
      </x:c>
      <x:c r="K28" s="20" t="str">
        <x:v>대기</x:v>
      </x:c>
      <x:c r="L28" s="13" t="str">
        <x:v>스팟 보완</x:v>
      </x:c>
    </x:row>
    <x:row r="29" ht="48" customHeight="1">
      <x:c r="A29" s="11" t="str">
        <x:v>P2-10</x:v>
      </x:c>
      <x:c r="B29" s="11" t="str">
        <x:v>2차</x:v>
      </x:c>
      <x:c r="C29" s="11" t="str">
        <x:v>카드별 좋아요·반응 목록</x:v>
      </x:c>
      <x:c r="D29" s="11" t="str">
        <x:v>신규 구현</x:v>
      </x:c>
      <x:c r="E29" s="42" t="n">
        <x:v>2</x:v>
      </x:c>
      <x:c r="F29" s="42" t="n">
        <x:v>0</x:v>
      </x:c>
      <x:c r="G29" s="36" t="n">
        <x:f>SUM(E29:F29)</x:f>
        <x:v>2</x:v>
      </x:c>
      <x:c r="H29" s="46" t="n">
        <x:f>WORKDAY(I28,1,'휴일·출처'!$A$5:$A$104)</x:f>
        <x:v>46356</x:v>
      </x:c>
      <x:c r="I29" s="46" t="n">
        <x:f>WORKDAY(H29-1,G29,'휴일·출처'!$A$5:$A$104)</x:f>
        <x:v>46357</x:v>
      </x:c>
      <x:c r="J29" s="47" t="str">
        <x:v>P2-09</x:v>
      </x:c>
      <x:c r="K29" s="18" t="str">
        <x:v>대기</x:v>
      </x:c>
      <x:c r="L29" s="11" t="str">
        <x:v>F19</x:v>
      </x:c>
    </x:row>
    <x:row r="30" ht="48" customHeight="1">
      <x:c r="A30" s="13" t="str">
        <x:v>P2-11</x:v>
      </x:c>
      <x:c r="B30" s="13" t="str">
        <x:v>2차</x:v>
      </x:c>
      <x:c r="C30" s="13" t="str">
        <x:v>카드 댓글·답글·수정·삭제</x:v>
      </x:c>
      <x:c r="D30" s="13" t="str">
        <x:v>신규 구현</x:v>
      </x:c>
      <x:c r="E30" s="42" t="n">
        <x:v>3</x:v>
      </x:c>
      <x:c r="F30" s="42" t="n">
        <x:v>0</x:v>
      </x:c>
      <x:c r="G30" s="37" t="n">
        <x:f>SUM(E30:F30)</x:f>
        <x:v>3</x:v>
      </x:c>
      <x:c r="H30" s="48" t="n">
        <x:f>WORKDAY(I29,1,'휴일·출처'!$A$5:$A$104)</x:f>
        <x:v>46358</x:v>
      </x:c>
      <x:c r="I30" s="48" t="n">
        <x:f>WORKDAY(H30-1,G30,'휴일·출처'!$A$5:$A$104)</x:f>
        <x:v>46360</x:v>
      </x:c>
      <x:c r="J30" s="49" t="str">
        <x:v>P2-10</x:v>
      </x:c>
      <x:c r="K30" s="20" t="str">
        <x:v>대기</x:v>
      </x:c>
      <x:c r="L30" s="13" t="str">
        <x:v>F19</x:v>
      </x:c>
    </x:row>
    <x:row r="31" ht="48" customHeight="1">
      <x:c r="A31" s="11" t="str">
        <x:v>P2-12</x:v>
      </x:c>
      <x:c r="B31" s="11" t="str">
        <x:v>2차</x:v>
      </x:c>
      <x:c r="C31" s="11" t="str">
        <x:v>읽기·편집 권한과 소통 실패 상태</x:v>
      </x:c>
      <x:c r="D31" s="11" t="str">
        <x:v>샘플 보완</x:v>
      </x:c>
      <x:c r="E31" s="42" t="n">
        <x:v>1</x:v>
      </x:c>
      <x:c r="F31" s="42" t="n">
        <x:v>0</x:v>
      </x:c>
      <x:c r="G31" s="36" t="n">
        <x:f>SUM(E31:F31)</x:f>
        <x:v>1</x:v>
      </x:c>
      <x:c r="H31" s="46" t="n">
        <x:f>WORKDAY(I30,1,'휴일·출처'!$A$5:$A$104)</x:f>
        <x:v>46363</x:v>
      </x:c>
      <x:c r="I31" s="46" t="n">
        <x:f>WORKDAY(H31-1,G31,'휴일·출처'!$A$5:$A$104)</x:f>
        <x:v>46363</x:v>
      </x:c>
      <x:c r="J31" s="47" t="str">
        <x:v>P2-11</x:v>
      </x:c>
      <x:c r="K31" s="18" t="str">
        <x:v>대기</x:v>
      </x:c>
      <x:c r="L31" s="11" t="str">
        <x:v>F19·F11</x:v>
      </x:c>
    </x:row>
    <x:row r="32" ht="48" customHeight="1">
      <x:c r="A32" s="13" t="str">
        <x:v>P2-13</x:v>
      </x:c>
      <x:c r="B32" s="13" t="str">
        <x:v>2차</x:v>
      </x:c>
      <x:c r="C32" s="13" t="str">
        <x:v>DAY 목록·지도·이동 정보 연결</x:v>
      </x:c>
      <x:c r="D32" s="13" t="str">
        <x:v>기존 보완</x:v>
      </x:c>
      <x:c r="E32" s="42" t="n">
        <x:v>2</x:v>
      </x:c>
      <x:c r="F32" s="42" t="n">
        <x:v>0</x:v>
      </x:c>
      <x:c r="G32" s="37" t="n">
        <x:f>SUM(E32:F32)</x:f>
        <x:v>2</x:v>
      </x:c>
      <x:c r="H32" s="48" t="n">
        <x:f>WORKDAY(I31,1,'휴일·출처'!$A$5:$A$104)</x:f>
        <x:v>46364</x:v>
      </x:c>
      <x:c r="I32" s="48" t="n">
        <x:f>WORKDAY(H32-1,G32,'휴일·출처'!$A$5:$A$104)</x:f>
        <x:v>46365</x:v>
      </x:c>
      <x:c r="J32" s="49" t="str">
        <x:v>P2-12</x:v>
      </x:c>
      <x:c r="K32" s="20" t="str">
        <x:v>대기</x:v>
      </x:c>
      <x:c r="L32" s="13" t="str">
        <x:v>F12</x:v>
      </x:c>
    </x:row>
    <x:row r="33" ht="48" customHeight="1">
      <x:c r="A33" s="11" t="str">
        <x:v>P2-14</x:v>
      </x:c>
      <x:c r="B33" s="11" t="str">
        <x:v>2차</x:v>
      </x:c>
      <x:c r="C33" s="11" t="str">
        <x:v>읽기 미리보기·발행 전 확인</x:v>
      </x:c>
      <x:c r="D33" s="11" t="str">
        <x:v>기존 보완</x:v>
      </x:c>
      <x:c r="E33" s="42" t="n">
        <x:v>1</x:v>
      </x:c>
      <x:c r="F33" s="42" t="n">
        <x:v>0</x:v>
      </x:c>
      <x:c r="G33" s="36" t="n">
        <x:f>SUM(E33:F33)</x:f>
        <x:v>1</x:v>
      </x:c>
      <x:c r="H33" s="46" t="n">
        <x:f>WORKDAY(I32,1,'휴일·출처'!$A$5:$A$104)</x:f>
        <x:v>46366</x:v>
      </x:c>
      <x:c r="I33" s="46" t="n">
        <x:f>WORKDAY(H33-1,G33,'휴일·출처'!$A$5:$A$104)</x:f>
        <x:v>46366</x:v>
      </x:c>
      <x:c r="J33" s="47" t="str">
        <x:v>P2-13</x:v>
      </x:c>
      <x:c r="K33" s="18" t="str">
        <x:v>대기</x:v>
      </x:c>
      <x:c r="L33" s="11" t="str">
        <x:v>F11</x:v>
      </x:c>
    </x:row>
    <x:row r="34" ht="48" customHeight="1">
      <x:c r="A34" s="13" t="str">
        <x:v>P2-15</x:v>
      </x:c>
      <x:c r="B34" s="13" t="str">
        <x:v>2차</x:v>
      </x:c>
      <x:c r="C34" s="13" t="str">
        <x:v>2차 통합·기록 보존·기기 검수</x:v>
      </x:c>
      <x:c r="D34" s="13" t="str">
        <x:v>통합 검수</x:v>
      </x:c>
      <x:c r="E34" s="42" t="n">
        <x:v>3</x:v>
      </x:c>
      <x:c r="F34" s="42" t="n">
        <x:v>0</x:v>
      </x:c>
      <x:c r="G34" s="37" t="n">
        <x:f>SUM(E34:F34)</x:f>
        <x:v>3</x:v>
      </x:c>
      <x:c r="H34" s="48" t="n">
        <x:f>WORKDAY(I33,1,'휴일·출처'!$A$5:$A$104)</x:f>
        <x:v>46367</x:v>
      </x:c>
      <x:c r="I34" s="48" t="n">
        <x:f>WORKDAY(H34-1,G34,'휴일·출처'!$A$5:$A$104)</x:f>
        <x:v>46371</x:v>
      </x:c>
      <x:c r="J34" s="49" t="str">
        <x:v>P2-14</x:v>
      </x:c>
      <x:c r="K34" s="20" t="str">
        <x:v>대기</x:v>
      </x:c>
      <x:c r="L34" s="13" t="str">
        <x:v>F07–F12·F19</x:v>
      </x:c>
    </x:row>
    <x:row r="35" ht="48" customHeight="1">
      <x:c r="A35" s="30" t="str">
        <x:v>P2-16</x:v>
      </x:c>
      <x:c r="B35" s="30" t="str">
        <x:v>2차</x:v>
      </x:c>
      <x:c r="C35" s="30" t="str">
        <x:v>2차 수정 여유·완료 인계</x:v>
      </x:c>
      <x:c r="D35" s="30" t="str">
        <x:v>예비·인계</x:v>
      </x:c>
      <x:c r="E35" s="42" t="n">
        <x:v>0</x:v>
      </x:c>
      <x:c r="F35" s="42" t="n">
        <x:v>8</x:v>
      </x:c>
      <x:c r="G35" s="39" t="n">
        <x:f>SUM(E35:F35)</x:f>
        <x:v>8</x:v>
      </x:c>
      <x:c r="H35" s="52" t="n">
        <x:f>WORKDAY(I34,1,'휴일·출처'!$A$5:$A$104)</x:f>
        <x:v>46372</x:v>
      </x:c>
      <x:c r="I35" s="52" t="n">
        <x:f>WORKDAY(H35-1,G35,'휴일·출처'!$A$5:$A$104)</x:f>
        <x:v>46384</x:v>
      </x:c>
      <x:c r="J35" s="53" t="str">
        <x:v>P2-15</x:v>
      </x:c>
      <x:c r="K35" s="44" t="str">
        <x:v>대기</x:v>
      </x:c>
      <x:c r="L35" s="30" t="str">
        <x:v>2차 완료 조건</x:v>
      </x:c>
    </x:row>
    <x:row r="36" ht="48" customHeight="1">
      <x:c r="A36" s="13" t="str">
        <x:v>P3-01</x:v>
      </x:c>
      <x:c r="B36" s="13" t="str">
        <x:v>3차</x:v>
      </x:c>
      <x:c r="C36" s="13" t="str">
        <x:v>AI 연결 계약·샘플 경계</x:v>
      </x:c>
      <x:c r="D36" s="13" t="str">
        <x:v>신규 규격</x:v>
      </x:c>
      <x:c r="E36" s="42" t="n">
        <x:v>2</x:v>
      </x:c>
      <x:c r="F36" s="42" t="n">
        <x:v>0</x:v>
      </x:c>
      <x:c r="G36" s="37" t="n">
        <x:f>SUM(E36:F36)</x:f>
        <x:v>2</x:v>
      </x:c>
      <x:c r="H36" s="48" t="n">
        <x:f>WORKDAY(I35,1,'휴일·출처'!$A$5:$A$104)</x:f>
        <x:v>46385</x:v>
      </x:c>
      <x:c r="I36" s="48" t="n">
        <x:f>WORKDAY(H36-1,G36,'휴일·출처'!$A$5:$A$104)</x:f>
        <x:v>46386</x:v>
      </x:c>
      <x:c r="J36" s="49" t="str">
        <x:v>P2-16</x:v>
      </x:c>
      <x:c r="K36" s="20" t="str">
        <x:v>대기</x:v>
      </x:c>
      <x:c r="L36" s="13" t="str">
        <x:v>F17</x:v>
      </x:c>
    </x:row>
    <x:row r="37" ht="48" customHeight="1">
      <x:c r="A37" s="11" t="str">
        <x:v>P3-02</x:v>
      </x:c>
      <x:c r="B37" s="11" t="str">
        <x:v>3차</x:v>
      </x:c>
      <x:c r="C37" s="11" t="str">
        <x:v>두 추천 모드·상세 조건 입력</x:v>
      </x:c>
      <x:c r="D37" s="11" t="str">
        <x:v>기존 확장</x:v>
      </x:c>
      <x:c r="E37" s="42" t="n">
        <x:v>2</x:v>
      </x:c>
      <x:c r="F37" s="42" t="n">
        <x:v>0</x:v>
      </x:c>
      <x:c r="G37" s="36" t="n">
        <x:f>SUM(E37:F37)</x:f>
        <x:v>2</x:v>
      </x:c>
      <x:c r="H37" s="46" t="n">
        <x:f>WORKDAY(I36,1,'휴일·출처'!$A$5:$A$104)</x:f>
        <x:v>46387</x:v>
      </x:c>
      <x:c r="I37" s="46" t="n">
        <x:f>WORKDAY(H37-1,G37,'휴일·출처'!$A$5:$A$104)</x:f>
        <x:v>46391</x:v>
      </x:c>
      <x:c r="J37" s="47" t="str">
        <x:v>P3-01</x:v>
      </x:c>
      <x:c r="K37" s="18" t="str">
        <x:v>대기</x:v>
      </x:c>
      <x:c r="L37" s="11" t="str">
        <x:v>F13</x:v>
      </x:c>
    </x:row>
    <x:row r="38" ht="48" customHeight="1">
      <x:c r="A38" s="13" t="str">
        <x:v>P3-03</x:v>
      </x:c>
      <x:c r="B38" s="13" t="str">
        <x:v>3차</x:v>
      </x:c>
      <x:c r="C38" s="13" t="str">
        <x:v>내부 랜드마크 후보·추천 근거</x:v>
      </x:c>
      <x:c r="D38" s="13" t="str">
        <x:v>샘플 신규</x:v>
      </x:c>
      <x:c r="E38" s="42" t="n">
        <x:v>2</x:v>
      </x:c>
      <x:c r="F38" s="42" t="n">
        <x:v>0</x:v>
      </x:c>
      <x:c r="G38" s="37" t="n">
        <x:f>SUM(E38:F38)</x:f>
        <x:v>2</x:v>
      </x:c>
      <x:c r="H38" s="48" t="n">
        <x:f>WORKDAY(I37,1,'휴일·출처'!$A$5:$A$104)</x:f>
        <x:v>46392</x:v>
      </x:c>
      <x:c r="I38" s="48" t="n">
        <x:f>WORKDAY(H38-1,G38,'휴일·출처'!$A$5:$A$104)</x:f>
        <x:v>46393</x:v>
      </x:c>
      <x:c r="J38" s="49" t="str">
        <x:v>P3-02</x:v>
      </x:c>
      <x:c r="K38" s="20" t="str">
        <x:v>대기</x:v>
      </x:c>
      <x:c r="L38" s="13" t="str">
        <x:v>F14·RAG 준비</x:v>
      </x:c>
    </x:row>
    <x:row r="39" ht="48" customHeight="1">
      <x:c r="A39" s="11" t="str">
        <x:v>P3-04</x:v>
      </x:c>
      <x:c r="B39" s="11" t="str">
        <x:v>3차</x:v>
      </x:c>
      <x:c r="C39" s="11" t="str">
        <x:v>음식점·숙소 보완 후보 승인</x:v>
      </x:c>
      <x:c r="D39" s="11" t="str">
        <x:v>기존 확장</x:v>
      </x:c>
      <x:c r="E39" s="42" t="n">
        <x:v>2</x:v>
      </x:c>
      <x:c r="F39" s="42" t="n">
        <x:v>0</x:v>
      </x:c>
      <x:c r="G39" s="36" t="n">
        <x:f>SUM(E39:F39)</x:f>
        <x:v>2</x:v>
      </x:c>
      <x:c r="H39" s="46" t="n">
        <x:f>WORKDAY(I38,1,'휴일·출처'!$A$5:$A$104)</x:f>
        <x:v>46394</x:v>
      </x:c>
      <x:c r="I39" s="46" t="n">
        <x:f>WORKDAY(H39-1,G39,'휴일·출처'!$A$5:$A$104)</x:f>
        <x:v>46395</x:v>
      </x:c>
      <x:c r="J39" s="47" t="str">
        <x:v>P3-03</x:v>
      </x:c>
      <x:c r="K39" s="18" t="str">
        <x:v>대기</x:v>
      </x:c>
      <x:c r="L39" s="11" t="str">
        <x:v>F14·스팟 보완</x:v>
      </x:c>
    </x:row>
    <x:row r="40" ht="48" customHeight="1">
      <x:c r="A40" s="13" t="str">
        <x:v>P3-05</x:v>
      </x:c>
      <x:c r="B40" s="13" t="str">
        <x:v>3차</x:v>
      </x:c>
      <x:c r="C40" s="13" t="str">
        <x:v>DAY 결과·이동·미배치 설명</x:v>
      </x:c>
      <x:c r="D40" s="13" t="str">
        <x:v>기존 확장</x:v>
      </x:c>
      <x:c r="E40" s="42" t="n">
        <x:v>2</x:v>
      </x:c>
      <x:c r="F40" s="42" t="n">
        <x:v>0</x:v>
      </x:c>
      <x:c r="G40" s="37" t="n">
        <x:f>SUM(E40:F40)</x:f>
        <x:v>2</x:v>
      </x:c>
      <x:c r="H40" s="48" t="n">
        <x:f>WORKDAY(I39,1,'휴일·출처'!$A$5:$A$104)</x:f>
        <x:v>46398</x:v>
      </x:c>
      <x:c r="I40" s="48" t="n">
        <x:f>WORKDAY(H40-1,G40,'휴일·출처'!$A$5:$A$104)</x:f>
        <x:v>46399</x:v>
      </x:c>
      <x:c r="J40" s="49" t="str">
        <x:v>P3-04</x:v>
      </x:c>
      <x:c r="K40" s="20" t="str">
        <x:v>대기</x:v>
      </x:c>
      <x:c r="L40" s="13" t="str">
        <x:v>F14</x:v>
      </x:c>
    </x:row>
    <x:row r="41" ht="48" customHeight="1">
      <x:c r="A41" s="11" t="str">
        <x:v>P3-06</x:v>
      </x:c>
      <x:c r="B41" s="11" t="str">
        <x:v>3차</x:v>
      </x:c>
      <x:c r="C41" s="11" t="str">
        <x:v>부분 재생성·고정 일정·변경 비교</x:v>
      </x:c>
      <x:c r="D41" s="11" t="str">
        <x:v>신규 구현</x:v>
      </x:c>
      <x:c r="E41" s="42" t="n">
        <x:v>3</x:v>
      </x:c>
      <x:c r="F41" s="42" t="n">
        <x:v>0</x:v>
      </x:c>
      <x:c r="G41" s="36" t="n">
        <x:f>SUM(E41:F41)</x:f>
        <x:v>3</x:v>
      </x:c>
      <x:c r="H41" s="46" t="n">
        <x:f>WORKDAY(I40,1,'휴일·출처'!$A$5:$A$104)</x:f>
        <x:v>46400</x:v>
      </x:c>
      <x:c r="I41" s="46" t="n">
        <x:f>WORKDAY(H41-1,G41,'휴일·출처'!$A$5:$A$104)</x:f>
        <x:v>46402</x:v>
      </x:c>
      <x:c r="J41" s="47" t="str">
        <x:v>P3-05</x:v>
      </x:c>
      <x:c r="K41" s="18" t="str">
        <x:v>대기</x:v>
      </x:c>
      <x:c r="L41" s="11" t="str">
        <x:v>F14·F17</x:v>
      </x:c>
    </x:row>
    <x:row r="42" ht="48" customHeight="1">
      <x:c r="A42" s="13" t="str">
        <x:v>P3-07</x:v>
      </x:c>
      <x:c r="B42" s="13" t="str">
        <x:v>3차</x:v>
      </x:c>
      <x:c r="C42" s="13" t="str">
        <x:v>여행 중 텍스트 관광 안내</x:v>
      </x:c>
      <x:c r="D42" s="13" t="str">
        <x:v>신규 구현</x:v>
      </x:c>
      <x:c r="E42" s="42" t="n">
        <x:v>2</x:v>
      </x:c>
      <x:c r="F42" s="42" t="n">
        <x:v>0</x:v>
      </x:c>
      <x:c r="G42" s="37" t="n">
        <x:f>SUM(E42:F42)</x:f>
        <x:v>2</x:v>
      </x:c>
      <x:c r="H42" s="48" t="n">
        <x:f>WORKDAY(I41,1,'휴일·출처'!$A$5:$A$104)</x:f>
        <x:v>46405</x:v>
      </x:c>
      <x:c r="I42" s="48" t="n">
        <x:f>WORKDAY(H42-1,G42,'휴일·출처'!$A$5:$A$104)</x:f>
        <x:v>46406</x:v>
      </x:c>
      <x:c r="J42" s="49" t="str">
        <x:v>P3-06</x:v>
      </x:c>
      <x:c r="K42" s="20" t="str">
        <x:v>대기</x:v>
      </x:c>
      <x:c r="L42" s="13" t="str">
        <x:v>F15</x:v>
      </x:c>
    </x:row>
    <x:row r="43" ht="48" customHeight="1">
      <x:c r="A43" s="11" t="str">
        <x:v>P3-08</x:v>
      </x:c>
      <x:c r="B43" s="11" t="str">
        <x:v>3차</x:v>
      </x:c>
      <x:c r="C43" s="11" t="str">
        <x:v>한국어·영어 UI와 한글 주소</x:v>
      </x:c>
      <x:c r="D43" s="11" t="str">
        <x:v>신규 구현</x:v>
      </x:c>
      <x:c r="E43" s="42" t="n">
        <x:v>2</x:v>
      </x:c>
      <x:c r="F43" s="42" t="n">
        <x:v>0</x:v>
      </x:c>
      <x:c r="G43" s="36" t="n">
        <x:f>SUM(E43:F43)</x:f>
        <x:v>2</x:v>
      </x:c>
      <x:c r="H43" s="46" t="n">
        <x:f>WORKDAY(I42,1,'휴일·출처'!$A$5:$A$104)</x:f>
        <x:v>46407</x:v>
      </x:c>
      <x:c r="I43" s="46" t="n">
        <x:f>WORKDAY(H43-1,G43,'휴일·출처'!$A$5:$A$104)</x:f>
        <x:v>46408</x:v>
      </x:c>
      <x:c r="J43" s="47" t="str">
        <x:v>P3-07</x:v>
      </x:c>
      <x:c r="K43" s="18" t="str">
        <x:v>대기</x:v>
      </x:c>
      <x:c r="L43" s="11" t="str">
        <x:v>F16</x:v>
      </x:c>
    </x:row>
    <x:row r="44" ht="48" customHeight="1">
      <x:c r="A44" s="13" t="str">
        <x:v>P3-09</x:v>
      </x:c>
      <x:c r="B44" s="13" t="str">
        <x:v>3차</x:v>
      </x:c>
      <x:c r="C44" s="13" t="str">
        <x:v>원문·자동번역·검수·갱신 상태</x:v>
      </x:c>
      <x:c r="D44" s="13" t="str">
        <x:v>샘플 신규</x:v>
      </x:c>
      <x:c r="E44" s="42" t="n">
        <x:v>2</x:v>
      </x:c>
      <x:c r="F44" s="42" t="n">
        <x:v>0</x:v>
      </x:c>
      <x:c r="G44" s="37" t="n">
        <x:f>SUM(E44:F44)</x:f>
        <x:v>2</x:v>
      </x:c>
      <x:c r="H44" s="48" t="n">
        <x:f>WORKDAY(I43,1,'휴일·출처'!$A$5:$A$104)</x:f>
        <x:v>46409</x:v>
      </x:c>
      <x:c r="I44" s="48" t="n">
        <x:f>WORKDAY(H44-1,G44,'휴일·출처'!$A$5:$A$104)</x:f>
        <x:v>46412</x:v>
      </x:c>
      <x:c r="J44" s="49" t="str">
        <x:v>P3-08</x:v>
      </x:c>
      <x:c r="K44" s="20" t="str">
        <x:v>대기</x:v>
      </x:c>
      <x:c r="L44" s="13" t="str">
        <x:v>F16·F17</x:v>
      </x:c>
    </x:row>
    <x:row r="45" ht="48" customHeight="1">
      <x:c r="A45" s="11" t="str">
        <x:v>P3-10</x:v>
      </x:c>
      <x:c r="B45" s="11" t="str">
        <x:v>3차</x:v>
      </x:c>
      <x:c r="C45" s="11" t="str">
        <x:v>취소·지연·실패·권한 샘플</x:v>
      </x:c>
      <x:c r="D45" s="11" t="str">
        <x:v>신규 검수</x:v>
      </x:c>
      <x:c r="E45" s="42" t="n">
        <x:v>1</x:v>
      </x:c>
      <x:c r="F45" s="42" t="n">
        <x:v>0</x:v>
      </x:c>
      <x:c r="G45" s="36" t="n">
        <x:f>SUM(E45:F45)</x:f>
        <x:v>1</x:v>
      </x:c>
      <x:c r="H45" s="46" t="n">
        <x:f>WORKDAY(I44,1,'휴일·출처'!$A$5:$A$104)</x:f>
        <x:v>46413</x:v>
      </x:c>
      <x:c r="I45" s="46" t="n">
        <x:f>WORKDAY(H45-1,G45,'휴일·출처'!$A$5:$A$104)</x:f>
        <x:v>46413</x:v>
      </x:c>
      <x:c r="J45" s="47" t="str">
        <x:v>P3-09</x:v>
      </x:c>
      <x:c r="K45" s="18" t="str">
        <x:v>대기</x:v>
      </x:c>
      <x:c r="L45" s="11" t="str">
        <x:v>F17</x:v>
      </x:c>
    </x:row>
    <x:row r="46" ht="48" customHeight="1">
      <x:c r="A46" s="13" t="str">
        <x:v>P3-11</x:v>
      </x:c>
      <x:c r="B46" s="13" t="str">
        <x:v>3차</x:v>
      </x:c>
      <x:c r="C46" s="13" t="str">
        <x:v>3차 전체 시나리오·영어·Android 검수</x:v>
      </x:c>
      <x:c r="D46" s="13" t="str">
        <x:v>통합 검수</x:v>
      </x:c>
      <x:c r="E46" s="42" t="n">
        <x:v>4</x:v>
      </x:c>
      <x:c r="F46" s="42" t="n">
        <x:v>0</x:v>
      </x:c>
      <x:c r="G46" s="37" t="n">
        <x:f>SUM(E46:F46)</x:f>
        <x:v>4</x:v>
      </x:c>
      <x:c r="H46" s="48" t="n">
        <x:f>WORKDAY(I45,1,'휴일·출처'!$A$5:$A$104)</x:f>
        <x:v>46414</x:v>
      </x:c>
      <x:c r="I46" s="48" t="n">
        <x:f>WORKDAY(H46-1,G46,'휴일·출처'!$A$5:$A$104)</x:f>
        <x:v>46419</x:v>
      </x:c>
      <x:c r="J46" s="49" t="str">
        <x:v>P3-10</x:v>
      </x:c>
      <x:c r="K46" s="20" t="str">
        <x:v>대기</x:v>
      </x:c>
      <x:c r="L46" s="13" t="str">
        <x:v>F18</x:v>
      </x:c>
    </x:row>
    <x:row r="47" ht="48" customHeight="1">
      <x:c r="A47" s="32" t="str">
        <x:v>P3-12</x:v>
      </x:c>
      <x:c r="B47" s="32" t="str">
        <x:v>3차</x:v>
      </x:c>
      <x:c r="C47" s="32" t="str">
        <x:v>3차 수정 여유·백엔드 연결 인계</x:v>
      </x:c>
      <x:c r="D47" s="32" t="str">
        <x:v>예비·인계</x:v>
      </x:c>
      <x:c r="E47" s="42" t="n">
        <x:v>0</x:v>
      </x:c>
      <x:c r="F47" s="42" t="n">
        <x:v>6</x:v>
      </x:c>
      <x:c r="G47" s="40" t="n">
        <x:f>SUM(E47:F47)</x:f>
        <x:v>6</x:v>
      </x:c>
      <x:c r="H47" s="54" t="n">
        <x:f>WORKDAY(I46,1,'휴일·출처'!$A$5:$A$104)</x:f>
        <x:v>46420</x:v>
      </x:c>
      <x:c r="I47" s="54" t="n">
        <x:f>WORKDAY(H47-1,G47,'휴일·출처'!$A$5:$A$104)</x:f>
        <x:v>46429</x:v>
      </x:c>
      <x:c r="J47" s="55" t="str">
        <x:v>P3-11</x:v>
      </x:c>
      <x:c r="K47" s="45" t="str">
        <x:v>대기</x:v>
      </x:c>
      <x:c r="L47" s="32" t="str">
        <x:v>3차 완료 조건</x:v>
      </x:c>
    </x:row>
  </x:sheetData>
  <x:mergeCells>
    <x:mergeCell ref="A1:L2"/>
    <x:mergeCell ref="A3:L3"/>
  </x:mergeCells>
  <x:conditionalFormatting sqref="G5:G47">
    <x:cfRule type="cellIs" dxfId="0" priority="1" operator="lessThan">
      <x:formula>1</x:formula>
    </x:cfRule>
  </x:conditionalFormatting>
  <x:dataValidations count="2">
    <x:dataValidation type="list" sqref="K5:K47">
      <x:formula1>"대기,진행,검수,완료,보류"</x:formula1>
    </x:dataValidation>
    <x:dataValidation type="whole" operator="between" sqref="E5:F47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29ee8d6f9964c0a"/>
  </x:tableParts>
</x:worksheet>
</file>

<file path=xl/worksheets/sheet3.xml><?xml version="1.0" encoding="utf-8"?>
<x:worksheet xmlns:x="http://schemas.openxmlformats.org/spreadsheetml/2006/main">
  <x:sheetPr>
    <x:tabColor rgb="FF23313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5" hidden="0" customWidth="1"/>
    <x:col min="2" max="2" width="30.6299991607666" hidden="0" customWidth="1"/>
    <x:col min="3" max="3" width="60" hidden="0" customWidth="1"/>
    <x:col min="4" max="4" width="60" hidden="0" customWidth="1"/>
    <x:col min="5" max="5" width="16.25" hidden="0" customWidth="1"/>
  </x:cols>
  <x:sheetData>
    <x:row r="1" ht="28" customHeight="1">
      <x:c r="A1" s="6" t="str">
        <x:v>기능별 구현과 완료 기준</x:v>
      </x:c>
      <x:c r="B1" s="6" t="str">
        <x:v>기능별 구현과 완료 기준</x:v>
      </x:c>
      <x:c r="C1" s="6" t="str">
        <x:v>기능별 구현과 완료 기준</x:v>
      </x:c>
      <x:c r="D1" s="6" t="str">
        <x:v>기능별 구현과 완료 기준</x:v>
      </x:c>
      <x:c r="E1" s="6" t="str">
        <x:v>기능별 구현과 완료 기준</x:v>
      </x:c>
    </x:row>
    <x:row r="2" ht="29" customHeight="1">
      <x:c r="A2" s="6" t="str">
        <x:v>기능별 구현과 완료 기준</x:v>
      </x:c>
      <x:c r="B2" s="6" t="str">
        <x:v>기능별 구현과 완료 기준</x:v>
      </x:c>
      <x:c r="C2" s="6" t="str">
        <x:v>기능별 구현과 완료 기준</x:v>
      </x:c>
      <x:c r="D2" s="6" t="str">
        <x:v>기능별 구현과 완료 기준</x:v>
      </x:c>
      <x:c r="E2" s="6" t="str">
        <x:v>기능별 구현과 완료 기준</x:v>
      </x:c>
    </x:row>
    <x:row r="3" ht="34" customHeight="1">
      <x:c r="A3" s="8" t="str">
        <x:v>기능별 일정과 같은 작업 ID를 사용함. 기존 제품의 화면·데이터·출처를 보존하며 보완함.</x:v>
      </x:c>
      <x:c r="B3" s="8" t="str">
        <x:v>기능별 일정과 같은 작업 ID를 사용함. 기존 제품의 화면·데이터·출처를 보존하며 보완함.</x:v>
      </x:c>
      <x:c r="C3" s="8" t="str">
        <x:v>기능별 일정과 같은 작업 ID를 사용함. 기존 제품의 화면·데이터·출처를 보존하며 보완함.</x:v>
      </x:c>
      <x:c r="D3" s="8" t="str">
        <x:v>기능별 일정과 같은 작업 ID를 사용함. 기존 제품의 화면·데이터·출처를 보존하며 보완함.</x:v>
      </x:c>
      <x:c r="E3" s="8" t="str">
        <x:v>기능별 일정과 같은 작업 ID를 사용함. 기존 제품의 화면·데이터·출처를 보존하며 보완함.</x:v>
      </x:c>
    </x:row>
    <x:row r="4" ht="36" customHeight="1">
      <x:c r="A4" s="9" t="str">
        <x:v>작업 ID</x:v>
      </x:c>
      <x:c r="B4" s="9" t="str">
        <x:v>기능</x:v>
      </x:c>
      <x:c r="C4" s="9" t="str">
        <x:v>구현 범위</x:v>
      </x:c>
      <x:c r="D4" s="9" t="str">
        <x:v>완료 조건</x:v>
      </x:c>
      <x:c r="E4" s="9" t="str">
        <x:v>계획서 항목</x:v>
      </x:c>
    </x:row>
    <x:row r="5" ht="100" customHeight="1">
      <x:c r="A5" s="11" t="str">
        <x:v>P1-01</x:v>
      </x:c>
      <x:c r="B5" s="11" t="str">
        <x:v>기존 구현·기준 화면 확인</x:v>
      </x:c>
      <x:c r="C5" s="11" t="str">
        <x:v>최신 인수인계와 실제 활성 화면을 대조함. 격리된 테스트 여행·저장 목록으로 주요 화면과 팝업의 기준 캡처를 남김. 이미 통과한 기능은 재작성하지 않고 차이만 기록함.</x:v>
      </x:c>
      <x:c r="D5" s="11" t="str">
        <x:v>현재 구현/보완/신규/후속 목록과 시작 전 변경 파일 목록, 320·390·460px 기준 화면을 보관함.</x:v>
      </x:c>
      <x:c r="E5" s="11" t="str">
        <x:v>F01–F06·F20</x:v>
      </x:c>
    </x:row>
    <x:row r="6" ht="100" customHeight="1">
      <x:c r="A6" s="13" t="str">
        <x:v>P1-02</x:v>
      </x:c>
      <x:c r="B6" s="13" t="str">
        <x:v>폰트·버튼·하단 팝업 역할 점검</x:v>
      </x:c>
      <x:c r="C6" s="13" t="str">
        <x:v>STYLE_GUIDE §3와 현재 화면별 CSS를 대조함. 공통 BottomSheet의 제목·본문·입력·하단 동작, 키보드·Esc·뒤로가기·포커스 복원을 검수함. 작은 저장 카드와 큰 발견 카드의 시각 역할을 유지함.</x:v>
      </x:c>
      <x:c r="D6" s="13" t="str">
        <x:v>새로운 글자 체계를 만들지 않음. 긴 내용과 키보드 상태에서 닫기·확정 버튼이 가려지지 않고 원래 위치로 복귀함.</x:v>
      </x:c>
      <x:c r="E6" s="13" t="str">
        <x:v>F06</x:v>
      </x:c>
    </x:row>
    <x:row r="7" ht="100" customHeight="1">
      <x:c r="A7" s="11" t="str">
        <x:v>P1-03</x:v>
      </x:c>
      <x:c r="B7" s="11" t="str">
        <x:v>로컬 저장·방문 ID·백업 검수</x:v>
      </x:c>
      <x:c r="C7" s="11" t="str">
        <x:v>localRepository와 visits의 버전 이전·저장 실패·복원 검사를 보완함. 장소·방문 ID를 분리하며 기존 여행·사진·개인 기록을 유지함. 손상·용량 초과·잘못된 백업 파일의 처리를 확인함.</x:v>
      </x:c>
      <x:c r="D7" s="11" t="str">
        <x:v>저장 실패를 성공으로 알리지 않음. 복원 취소는 원본 불변, 성공 전 유효성 검사와 이전 사본 보존이 가능함.</x:v>
      </x:c>
      <x:c r="E7" s="11" t="str">
        <x:v>F05</x:v>
      </x:c>
    </x:row>
    <x:row r="8" ht="100" customHeight="1">
      <x:c r="A8" s="13" t="str">
        <x:v>P1-04</x:v>
      </x:c>
      <x:c r="B8" s="13" t="str">
        <x:v>검색·지역 필터·목록 복원</x:v>
      </x:c>
      <x:c r="C8" s="13" t="str">
        <x:v>여행기·장소의 검색과 지역 필터를 재사용함. 추가 로딩·끝·빈 결과·오류·재시도·상세 왕복 시 선택 조건과 스크롤 복원을 보완함. 외부 검색은 연결하지 않음.</x:v>
      </x:c>
      <x:c r="D8" s="13" t="str">
        <x:v>연속 필터 변경 시 이전 결과가 섞이지 않음. 상세를 닫으면 기존 목록 조건과 위치로 돌아옴.</x:v>
      </x:c>
      <x:c r="E8" s="13" t="str">
        <x:v>F01</x:v>
      </x:c>
    </x:row>
    <x:row r="9" ht="100" customHeight="1">
      <x:c r="A9" s="11" t="str">
        <x:v>P1-05</x:v>
      </x:c>
      <x:c r="B9" s="11" t="str">
        <x:v>저장 목록·여행 만들기 진입</x:v>
      </x:c>
      <x:c r="C9" s="11" t="str">
        <x:v>Saved의 작은 가로 카드·지역 필터를 유지함. 별도 보관함 분류와 화면 안 여행 편집기를 추가하지 않음. 만들기·AI·담기는 기존 하단 팝업을 열고 확정 후 내 여행 상세로 연결함.</x:v>
      </x:c>
      <x:c r="D9" s="11" t="str">
        <x:v>저장에서는 모으기와 생성 진입만 제공함. 이름·기간·DAY·순서 등 생성 후 수정은 내 여행에서 수행함.</x:v>
      </x:c>
      <x:c r="E9" s="11" t="str">
        <x:v>F02</x:v>
      </x:c>
    </x:row>
    <x:row r="10" ht="100" customHeight="1">
      <x:c r="A10" s="13" t="str">
        <x:v>P1-06</x:v>
      </x:c>
      <x:c r="B10" s="13" t="str">
        <x:v>기간·시작일·여행·DAY 선택</x:v>
      </x:c>
      <x:c r="C10" s="13" t="str">
        <x:v>기존 담기 팝업에서 당일~6박 7일과 선택적 시작일, DAY 1~N을 검수함. 기간과 담을 DAY는 독립 상태로 유지함. 기존 여행 선택 시 소유권을 검사하고 기간 변경은 내 여행으로 안내함.</x:v>
      </x:c>
      <x:c r="D10" s="13" t="str">
        <x:v>2일 여행에서 DAY 2를 선택해 담으면 실제 DAY 2 상세가 열림. 날짜 미정·7일·빈 여행·기간 축소 시 사라지는 DAY를 안전하게 처리함.</x:v>
      </x:c>
      <x:c r="E10" s="13" t="str">
        <x:v>F03</x:v>
      </x:c>
    </x:row>
    <x:row r="11" ht="100" customHeight="1">
      <x:c r="A11" s="11" t="str">
        <x:v>P1-07</x:v>
      </x:c>
      <x:c r="B11" s="11" t="str">
        <x:v>저장·담김·해제·재방문 일치</x:v>
      </x:c>
      <x:c r="C11" s="11" t="str">
        <x:v>북마크와 여행 내 방문을 분리함. 카드에는 담긴 여행·DAY를 정확히 표시함. 같은 DAY 중복은 막고 다른 DAY 재방문을 허용함. 방문 수정은 내 여행 중심으로 유지하고 새 관리 UI를 저장 본문에 만들지 않음.</x:v>
      </x:c>
      <x:c r="D11" s="11" t="str">
        <x:v>북마크 해제로 여행 방문이 삭제되지 않음. 한 방문 해제가 다른 DAY·여행을 건드리지 않음. 취소·실패는 원본 불변임.</x:v>
      </x:c>
      <x:c r="E11" s="11" t="str">
        <x:v>F04</x:v>
      </x:c>
    </x:row>
    <x:row r="12" ht="100" customHeight="1">
      <x:c r="A12" s="13" t="str">
        <x:v>P1-08</x:v>
      </x:c>
      <x:c r="B12" s="13" t="str">
        <x:v>사진 쇼츠의 장소·사진 전환</x:v>
      </x:c>
      <x:c r="C12" s="13" t="str">
        <x:v>사진 피드의 세로 전환은 다른 랜드마크, 가로 전환은 같은 랜드마크 사진으로 유지함. 영상 피드를 대체하지 않음. 저장 상태·사진별 출처·재진입 위치를 검수함.</x:v>
      </x:c>
      <x:c r="D12" s="13" t="str">
        <x:v>가로 사진 넘김이 다음 장소 이동·담기·팝업 닫기로 오작동하지 않음. 기존 풀영상과 로컬 사진 모션 실험을 보존함.</x:v>
      </x:c>
      <x:c r="E12" s="13" t="str">
        <x:v>F20</x:v>
      </x:c>
    </x:row>
    <x:row r="13" ht="100" customHeight="1">
      <x:c r="A13" s="11" t="str">
        <x:v>P1-09</x:v>
      </x:c>
      <x:c r="B13" s="11" t="str">
        <x:v>큰 랜드마크 카드의 사진 갤러리</x:v>
      </x:c>
      <x:c r="C13" s="11" t="str">
        <x:v>LandmarkGuideCard의 기존 이미지 영역에 동일 장소 images와 현재 index를 연결함. 가로 스와이프·이전/다음·순번을 제공하고 현재 사진의 설명·대체 텍스트·출처를 표시함. 현재·인접 사진부터 읽음.</x:v>
      </x:c>
      <x:c r="D13" s="11" t="str">
        <x:v>1장일 때 넘김 조작 숨김, 0장/실패 구분, 다른 장소 사진 사용 금지. 기존 이미지 높이·둥글기·텍스트·여백과 저장 선택 상태를 유지함.</x:v>
      </x:c>
      <x:c r="E13" s="11" t="str">
        <x:v>F20·수급 §7</x:v>
      </x:c>
    </x:row>
    <x:row r="14" ht="100" customHeight="1">
      <x:c r="A14" s="13" t="str">
        <x:v>P1-10</x:v>
      </x:c>
      <x:c r="B14" s="13" t="str">
        <x:v>안내·AI·담기 카드 갤러리 연결</x:v>
      </x:c>
      <x:c r="C14" s="13" t="str">
        <x:v>지역 안내·AI DAY 미리보기·담기 하단 팝업의 큰 랜드마크 카드에 같은 갤러리를 연결함. 사용 목적별 버튼만 다르게 연결하고 사진별 출처를 그대로 전달함.</x:v>
      </x:c>
      <x:c r="D14" s="13" t="str">
        <x:v>세 진입의 같은 장소에 같은 사진·출처가 표시됨. 저장 본문 가로 카드와 여행기 임베드·전체 화면 미디어는 일괄 교체하지 않음.</x:v>
      </x:c>
      <x:c r="E14" s="13" t="str">
        <x:v>F20·추가 결정</x:v>
      </x:c>
    </x:row>
    <x:row r="15" ht="100" customHeight="1">
      <x:c r="A15" s="11" t="str">
        <x:v>P1-11</x:v>
      </x:c>
      <x:c r="B15" s="11" t="str">
        <x:v>홈 AI 글 입력·사진 초안 승인</x:v>
      </x:c>
      <x:c r="C15" s="11" t="str">
        <x:v>홈 AI에서 글로 받은 지역·기간·취향·제외 조건을 확인하고 기존 로컬 초안을 사진 카드로 보여줌. 방문 제외·재포함 후 사용자가 승인해야 비공개 내 여행을 생성함. 복잡한 조건은 3차로 연결함.</x:v>
      </x:c>
      <x:c r="D15" s="11" t="str">
        <x:v>외부 AI 미연결을 표시함. 미리보기만 열거나 취소하면 여행이 생기지 않음. 중복 승인 방지, 승인 후 정확한 새 여행 상세 이동을 확인함.</x:v>
      </x:c>
      <x:c r="E15" s="11" t="str">
        <x:v>추가 결정·F13 준비</x:v>
      </x:c>
    </x:row>
    <x:row r="16" ht="100" customHeight="1">
      <x:c r="A16" s="13" t="str">
        <x:v>P1-12</x:v>
      </x:c>
      <x:c r="B16" s="13" t="str">
        <x:v>권리·좌표·사진 샘플 점검</x:v>
      </x:c>
      <x:c r="C16" s="13" t="str">
        <x:v>기존 공공 샘플을 재검수하고 서울·부산·제주×당일/1박 2일/2박 3일의 9개 검증 시나리오를 준비함. 재사용 가능한 실제 사진·출처·좌표를 연결하고 권리 없는 자산은 미확보로 기록함.</x:v>
      </x:c>
      <x:c r="D16" s="13" t="str">
        <x:v>자산별 출처·작가·유형·원문·확인일이 보존됨. 출처 버튼에서 상세를 열며 캡션 중복 없음. 사진 없는 경우 다른 장소 사진으로 채우지 않음.</x:v>
      </x:c>
      <x:c r="E16" s="13" t="str">
        <x:v>수급 §3·§6·추가 결정</x:v>
      </x:c>
    </x:row>
    <x:row r="17" ht="100" customHeight="1">
      <x:c r="A17" s="11" t="str">
        <x:v>P1-13</x:v>
      </x:c>
      <x:c r="B17" s="11" t="str">
        <x:v>AI 추천 여행 목록·개인 복사 구분</x:v>
      </x:c>
      <x:c r="C17" s="11" t="str">
        <x:v>기존 AI 추천 여행 필터·라벨과 공개 공공자료 여행기 4개를 회귀 검수함. 검색·지역·기간 필터와 복사본의 비공개 상태를 확인함. 신규 검증 시나리오를 자동 공개하지 않음.</x:v>
      </x:c>
      <x:c r="D17" s="11" t="str">
        <x:v>AI 추천 샘플을 실제 방문 후기로 표현하지 않음. 개인 생성 여행이 공개 추천 탭에 섞이지 않음.</x:v>
      </x:c>
      <x:c r="E17" s="11" t="str">
        <x:v>추가 결정</x:v>
      </x:c>
    </x:row>
    <x:row r="18" ht="100" customHeight="1">
      <x:c r="A18" s="13" t="str">
        <x:v>P1-14</x:v>
      </x:c>
      <x:c r="B18" s="13" t="str">
        <x:v>1차 통합·모바일·Android 검수</x:v>
      </x:c>
      <x:c r="C18" s="13" t="str">
        <x:v>발견→저장→팝업→DAY 담기→내 여행 상세와 홈 AI→사진 승인 흐름을 검수함. 320·390·460px, 긴 스크롤·선택·빈 화면·오류·재실행·Android 뒤로가기와 키보드를 확인함.</x:v>
      </x:c>
      <x:c r="D18" s="13" t="str">
        <x:v>기존 기준 캡처와 역할별 스타일 차이를 설명함. 여행/DAY 불일치·데이터 손실·팝업 막힘은 0건이어야 함. 기기 미검증 항목은 완료로 표시하지 않음.</x:v>
      </x:c>
      <x:c r="E18" s="13" t="str">
        <x:v>F01–F06·F20</x:v>
      </x:c>
    </x:row>
    <x:row r="19" ht="100" customHeight="1">
      <x:c r="A19" s="28" t="str">
        <x:v>P1-15</x:v>
      </x:c>
      <x:c r="B19" s="28" t="str">
        <x:v>1차 수정 여유·완료 인계</x:v>
      </x:c>
      <x:c r="C19" s="28" t="str">
        <x:v>통합에서 발견한 기능·기기·콘텐츠 연결 결함을 수정하고 재검수함. 남은 이슈와 검증 기록·테스트 데이터·다음 차수 진입 조건을 인수인계에 기록함. 새로운 범위 추가에 자동 소진하지 않음.</x:v>
      </x:c>
      <x:c r="D19" s="28" t="str">
        <x:v>완료 증거가 있는 항목만 체크함. 차단 결함이 남으면 차수 완료를 보류하고 후속 날짜를 조정함.</x:v>
      </x:c>
      <x:c r="E19" s="28" t="str">
        <x:v>1차 완료 조건</x:v>
      </x:c>
    </x:row>
    <x:row r="20" ht="100" customHeight="1">
      <x:c r="A20" s="13" t="str">
        <x:v>P2-01</x:v>
      </x:c>
      <x:c r="B20" s="13" t="str">
        <x:v>작성·방문·카드 관계 확정</x:v>
      </x:c>
      <x:c r="C20" s="13" t="str">
        <x:v>1차 결과를 읽고 placeId·visitId·dayId·blockId·cardId의 실제 기존 필드를 매핑함. 새 규격으로 전체 데이터를 갈아엎지 않고 이전·읽기 호환을 정리함. 주변 업체는 기준 방문, 숙소는 숙박 DAY와 연결함.</x:v>
      </x:c>
      <x:c r="D20" s="13" t="str">
        <x:v>같은 장소의 재방문과 같은 숙소의 연박을 표현함. 여행기+카드 ID가 반응 대상이며 전체 댓글과 분리됨.</x:v>
      </x:c>
      <x:c r="E20" s="13" t="str">
        <x:v>F07–F12·F19</x:v>
      </x:c>
    </x:row>
    <x:row r="21" ht="100" customHeight="1">
      <x:c r="A21" s="11" t="str">
        <x:v>P2-02</x:v>
      </x:c>
      <x:c r="B21" s="11" t="str">
        <x:v>자동 임시 저장·복구</x:v>
      </x:c>
      <x:c r="C21" s="11" t="str">
        <x:v>글·사진·블록 순서·DAY·선택 위치를 1~2초 지연 저장하고 전환 전 누락을 막음. 편집본과 공개 읽기 데이터를 분리하며 새로고침·앱 재실행 복구와 저장 중/완료/실패를 표시함.</x:v>
      </x:c>
      <x:c r="D21" s="11" t="str">
        <x:v>마지막 저장본·새 편집의 경합을 검사함. 저장 실패·용량 초과 시 복구 가능한 사본을 유지하며 사용자 기록을 덮어쓰지 않음.</x:v>
      </x:c>
      <x:c r="E21" s="11" t="str">
        <x:v>F07</x:v>
      </x:c>
    </x:row>
    <x:row r="22" ht="100" customHeight="1">
      <x:c r="A22" s="13" t="str">
        <x:v>P2-03</x:v>
      </x:c>
      <x:c r="B22" s="13" t="str">
        <x:v>사진 여러 장·순서·설명·대표 사진</x:v>
      </x:c>
      <x:c r="C22" s="13" t="str">
        <x:v>기존 사진 블록에 여러 장 선택·순서 변경·삭제·설명·대표 사진 지정을 연결함. 미리보기 자원 해제·읽기 실패·큰 파일 처리 상태를 정리함. 서버 업로드 없이 로컬 자산으로 동작함.</x:v>
      </x:c>
      <x:c r="D22" s="13" t="str">
        <x:v>취소/실패 시 기존 사진 보존, 삭제 후 대표 사진 재지정 가능. 출처가 있는 사진을 복사해도 권리 메타가 사라지지 않음.</x:v>
      </x:c>
      <x:c r="E22" s="13" t="str">
        <x:v>F08</x:v>
      </x:c>
    </x:row>
    <x:row r="23" ht="100" customHeight="1">
      <x:c r="A23" s="11" t="str">
        <x:v>P2-04</x:v>
      </x:c>
      <x:c r="B23" s="11" t="str">
        <x:v>글·사진·업체·랜드마크 블록 편집</x:v>
      </x:c>
      <x:c r="C23" s="11" t="str">
        <x:v>글 사이에 저장 장소·허용된 내부 검색 샘플·직접 입력으로 랜드마크·음식점·호텔 카드를 넣음. 블록 순서와 설명을 수정하며 기존 상세 임베드 역할을 유지함.</x:v>
      </x:c>
      <x:c r="D23" s="11" t="str">
        <x:v>읽기·미리보기에서 글/사진/카드 순서가 같음. 미확인 업체는 확인된 평점·좌표가 있는 것처럼 표시하지 않음.</x:v>
      </x:c>
      <x:c r="E23" s="11" t="str">
        <x:v>F08·F19</x:v>
      </x:c>
    </x:row>
    <x:row r="24" ht="100" customHeight="1">
      <x:c r="A24" s="13" t="str">
        <x:v>P2-05</x:v>
      </x:c>
      <x:c r="B24" s="13" t="str">
        <x:v>DAY 간 이동·연결 항목 보존</x:v>
      </x:c>
      <x:c r="C24" s="13" t="str">
        <x:v>장소를 다른 DAY로 이동할 때 연결 글·사진·주변 업체를 함께 처리함. 별도 글의 연결 범위를 사용자에게 명확히 보여줌. DAY 삭제와 번호 재정렬을 ID 기준으로 처리함.</x:v>
      </x:c>
      <x:c r="D24" s="13" t="str">
        <x:v>이동 시 방문·카드 ID와 기존 반응은 유지함. 다른 DAY의 숙소·기록과 이동 대상 밖 블록을 삭제하지 않음.</x:v>
      </x:c>
      <x:c r="E24" s="13" t="str">
        <x:v>F09</x:v>
      </x:c>
    </x:row>
    <x:row r="25" ht="100" customHeight="1">
      <x:c r="A25" s="11" t="str">
        <x:v>P2-06</x:v>
      </x:c>
      <x:c r="B25" s="11" t="str">
        <x:v>여행·하루·장소 독립 복사</x:v>
      </x:c>
      <x:c r="C25" s="11" t="str">
        <x:v>전체 여행·하루·장소 복사를 구분함. 새 여행/방문/본문 카드 ID를 만들고 내부 참조를 새 ID로 연결함. 원문 작성자·출처·복사 시점은 유지함.</x:v>
      </x:c>
      <x:c r="D25" s="11" t="str">
        <x:v>복사본 수정이 원본에 영향을 주지 않음. 새 카드의 좋아요·댓글은 0건이고 원문 연결과 출처는 유지됨.</x:v>
      </x:c>
      <x:c r="E25" s="11" t="str">
        <x:v>F10</x:v>
      </x:c>
    </x:row>
    <x:row r="26" ht="100" customHeight="1">
      <x:c r="A26" s="13" t="str">
        <x:v>P2-07</x:v>
      </x:c>
      <x:c r="B26" s="13" t="str">
        <x:v>삭제 복구·마지막 변경 취소</x:v>
      </x:c>
      <x:c r="C26" s="13" t="str">
        <x:v>DAY·장소·글·사진 삭제와 이동의 마지막 변경 취소를 제공함. 복구 가능한 상태와 범위를 알리고 저장 결과와 동기화함. 영구 제거는 별도 확인을 거침.</x:v>
      </x:c>
      <x:c r="D26" s="13" t="str">
        <x:v>복구 후 블록 순서·사진·방문·주변 연결이 정확함. 다른 여행으로 이동한 후 이전 여행의 취소가 잘못 적용되지 않음.</x:v>
      </x:c>
      <x:c r="E26" s="13" t="str">
        <x:v>F11</x:v>
      </x:c>
    </x:row>
    <x:row r="27" ht="100" customHeight="1">
      <x:c r="A27" s="11" t="str">
        <x:v>P2-08</x:v>
      </x:c>
      <x:c r="B27" s="11" t="str">
        <x:v>스팟 주변 음식점·카페 추가 팝업</x:v>
      </x:c>
      <x:c r="C27" s="11" t="str">
        <x:v>내 여행의 스팟에서 + 주변 장소로 기존 하단 팝업을 엶. 추천/직접 검색/저장한 장소를 내부 샘플로 구분함. 현재 여행·DAY·기준 방문을 이어받고 승인한 후보를 해당 스팟 다음에 추가함.</x:v>
      </x:c>
      <x:c r="D27" s="11" t="str">
        <x:v>여행·DAY를 반복 입력하지 않음. 닫기·거절은 불변, 중복 후보 처리, 기준 스팟 삭제 시 안전 취소. 실제 네이버 조회로 표시하지 않음.</x:v>
      </x:c>
      <x:c r="E27" s="11" t="str">
        <x:v>스팟 보완·F08</x:v>
      </x:c>
    </x:row>
    <x:row r="28" ht="100" customHeight="1">
      <x:c r="A28" s="13" t="str">
        <x:v>P2-09</x:v>
      </x:c>
      <x:c r="B28" s="13" t="str">
        <x:v>숙박 DAY 거점·연박·예약 고정</x:v>
      </x:c>
      <x:c r="C28" s="13" t="str">
        <x:v>숙소를 각 스팟마다 반복 붙이지 않고 숙박 DAY 거점으로 추가함. 같은 숙소 여러 밤 사용·숙소 교체·예약 고정을 구현함. 마지막 날 비숙박과 당일 여행을 구분함.</x:v>
      </x:c>
      <x:c r="D28" s="13" t="str">
        <x:v>한 날 숙소 교체가 다른 날 숙소를 변경하지 않음. 고정된 예약·체크인 조건을 복사/이동/삭제 후에도 보존하거나 명확히 재확인함.</x:v>
      </x:c>
      <x:c r="E28" s="13" t="str">
        <x:v>스팟 보완</x:v>
      </x:c>
    </x:row>
    <x:row r="29" ht="100" customHeight="1">
      <x:c r="A29" s="11" t="str">
        <x:v>P2-10</x:v>
      </x:c>
      <x:c r="B29" s="11" t="str">
        <x:v>카드별 좋아요·반응 목록</x:v>
      </x:c>
      <x:c r="C29" s="11" t="str">
        <x:v>여행기 안 각 업체·랜드마크 카드에 좋아요 버튼·좋아요 수·댓글 수를 표시함. 버튼은 토글, 좋아요 숫자는 반응한 사용자 하단 팝업을 엶. 샘플 계정 상태로 중복 토글을 검사함.</x:v>
      </x:c>
      <x:c r="D29" s="11" t="str">
        <x:v>여행기ID+카드ID별로 격리함. 같은 업체의 다른 여행기 카드에 반응이 섞이지 않음. 실제 사용자 집계가 아님을 표시함.</x:v>
      </x:c>
      <x:c r="E29" s="11" t="str">
        <x:v>F19</x:v>
      </x:c>
    </x:row>
    <x:row r="30" ht="100" customHeight="1">
      <x:c r="A30" s="13" t="str">
        <x:v>P2-11</x:v>
      </x:c>
      <x:c r="B30" s="13" t="str">
        <x:v>카드 댓글·답글·수정·삭제</x:v>
      </x:c>
      <x:c r="C30" s="13" t="str">
        <x:v>댓글 수로 대상 여행기/장소 하단 팝업을 엶. 댓글·답글 펼침, 답글 대상·취소, 본인 수정·삭제, 신고 접수 샘플을 구현함. 공개 댓글+답글 합계를 표시하고 목록 분할·입력 상태를 유지함.</x:v>
      </x:c>
      <x:c r="D30" s="13" t="str">
        <x:v>키보드 위 입력·미전송 초안·본문 스크롤·포커스 복원 확인. 카드 이동 시 유지/복사 시 새 스레드. 댓글 수와 보이는 공개 항목 합계가 일치함.</x:v>
      </x:c>
      <x:c r="E30" s="13" t="str">
        <x:v>F19</x:v>
      </x:c>
    </x:row>
    <x:row r="31" ht="100" customHeight="1">
      <x:c r="A31" s="11" t="str">
        <x:v>P2-12</x:v>
      </x:c>
      <x:c r="B31" s="11" t="str">
        <x:v>읽기·편집 권한과 소통 실패 상태</x:v>
      </x:c>
      <x:c r="C31" s="11" t="str">
        <x:v>다른 사람 여행기에서 편집·주변 추가를 숨김. 로그인 필요·전송 실패·재시도·삭제된 카드·신고 상태를 샘플로 검수함. 실제 권한 강제와 관리자 처리는 B1/B3로 남김.</x:v>
      </x:c>
      <x:c r="D31" s="11" t="str">
        <x:v>실패한 댓글을 성공 처리하거나 숫자를 영구 증가시키지 않음. 여행기 전체 댓글과 카드 댓글이 독립적임.</x:v>
      </x:c>
      <x:c r="E31" s="11" t="str">
        <x:v>F19·F11</x:v>
      </x:c>
    </x:row>
    <x:row r="32" ht="100" customHeight="1">
      <x:c r="A32" s="13" t="str">
        <x:v>P2-13</x:v>
      </x:c>
      <x:c r="B32" s="13" t="str">
        <x:v>DAY 목록·지도·이동 정보 연결</x:v>
      </x:c>
      <x:c r="C32" s="13" t="str">
        <x:v>목록과 지도 핀이 같은 visitId를 선택하게 함. DAY 전환·반복 방문·빈 좌표·경로 실패를 처리함. MapLibre worker/정적 경로의 알려진 404를 재현하고 해당 원인이 남아 있으면 범위 내 보완함.</x:v>
      </x:c>
      <x:c r="D32" s="13" t="str">
        <x:v>지도/목록 왕복과 모바일 크기 변경 정상. 자동차 경로를 도보 시간으로 표시하지 않음. 미연결 이동은 미확인·추정으로 구분함. 실제 교통 API는 제외함.</x:v>
      </x:c>
      <x:c r="E32" s="13" t="str">
        <x:v>F12</x:v>
      </x:c>
    </x:row>
    <x:row r="33" ht="100" customHeight="1">
      <x:c r="A33" s="11" t="str">
        <x:v>P2-14</x:v>
      </x:c>
      <x:c r="B33" s="11" t="str">
        <x:v>읽기 미리보기·발행 전 확인</x:v>
      </x:c>
      <x:c r="C33" s="11" t="str">
        <x:v>대표 사진·제목·DAY·장소·출처·미확인 정보의 누락을 점검함. 작성자/독자 미리보기와 복사 후 읽기를 연결함. 로컬 공개 시뮬레이션은 실제 발행과 구분함.</x:v>
      </x:c>
      <x:c r="D33" s="11" t="str">
        <x:v>미리보기만으로 원본이나 공개 목록을 변경하지 않음. 빠진 정보로 돌아가 수정하고 작성 위치로 복원함.</x:v>
      </x:c>
      <x:c r="E33" s="11" t="str">
        <x:v>F11</x:v>
      </x:c>
    </x:row>
    <x:row r="34" ht="100" customHeight="1">
      <x:c r="A34" s="13" t="str">
        <x:v>P2-15</x:v>
      </x:c>
      <x:c r="B34" s="13" t="str">
        <x:v>2차 통합·기록 보존·기기 검수</x:v>
      </x:c>
      <x:c r="C34" s="13" t="str">
        <x:v>9개 일정 시나리오에 글·사진·업체를 넣고 종료/복구/이동/복사/복구/반응/지도/미리보기를 이어 검수함. 320·390·460px와 Android 키보드·뒤로가기를 포함함.</x:v>
      </x:c>
      <x:c r="D34" s="13" t="str">
        <x:v>원본/복사본과 여행별 스레드가 분리되고 삭제·복구 관계가 유지됨. 중요한 데이터 손실·권한 오표시·조작 차단 결함을 해소함.</x:v>
      </x:c>
      <x:c r="E34" s="13" t="str">
        <x:v>F07–F12·F19</x:v>
      </x:c>
    </x:row>
    <x:row r="35" ht="100" customHeight="1">
      <x:c r="A35" s="30" t="str">
        <x:v>P2-16</x:v>
      </x:c>
      <x:c r="B35" s="30" t="str">
        <x:v>2차 수정 여유·완료 인계</x:v>
      </x:c>
      <x:c r="C35" s="30" t="str">
        <x:v>블록·사진·관계 이전·댓글 상태·Android 결함 수정에 배정함. 3차가 사용할 편집 계약과 샘플·검증 기록·잔여 이슈를 정리함. 신규 서버 기능 착수로 사용하지 않음.</x:v>
      </x:c>
      <x:c r="D35" s="30" t="str">
        <x:v>검증된 편집·관계·소통 상태를 인계하고 중대 미해결 문제는 3차 착수 전에 해결함.</x:v>
      </x:c>
      <x:c r="E35" s="30" t="str">
        <x:v>2차 완료 조건</x:v>
      </x:c>
    </x:row>
    <x:row r="36" ht="100" customHeight="1">
      <x:c r="A36" s="13" t="str">
        <x:v>P3-01</x:v>
      </x:c>
      <x:c r="B36" s="13" t="str">
        <x:v>AI 연결 계약·샘플 경계</x:v>
      </x:c>
      <x:c r="C36" s="13" t="str">
        <x:v>일정 생성·부분 수정·관광 질문·번역을 독립 인터페이스로 정의함. 요청ID·원문버전·선택 장소·DAY·잠금·언어·출처·미배치·경고·mock 표시를 공통 형식으로 정리함.</x:v>
      </x:c>
      <x:c r="D36" s="13" t="str">
        <x:v>샘플 어댑터와 향후 서버 어댑터의 입력/출력 규격이 같음. 키·토큰을 프런트나 APK에 넣지 않음.</x:v>
      </x:c>
      <x:c r="E36" s="13" t="str">
        <x:v>F17</x:v>
      </x:c>
    </x:row>
    <x:row r="37" ht="100" customHeight="1">
      <x:c r="A37" s="11" t="str">
        <x:v>P3-02</x:v>
      </x:c>
      <x:c r="B37" s="11" t="str">
        <x:v>두 추천 모드·상세 조건 입력</x:v>
      </x:c>
      <x:c r="C37" s="11" t="str">
        <x:v>지역·취향 추천과 저장한 장소로 구성을 구분함. 날짜·도착/출발·숙소·교통·속도·필수/제외·예약·걷기·동행·식사·접근성 조건을 단계별 입력함. 1차 홈 AI 진입을 재사용함.</x:v>
      </x:c>
      <x:c r="D37" s="11" t="str">
        <x:v>기본값을 바꿀 수 있고 상충 조건을 알려줌. 날짜 없는 여행은 영업/운행 날짜를 검증했다고 표시하지 않음. AI 1~7일·최대30곳 제한이 수동 편집에는 적용되지 않음.</x:v>
      </x:c>
      <x:c r="E37" s="11" t="str">
        <x:v>F13</x:v>
      </x:c>
    </x:row>
    <x:row r="38" ht="100" customHeight="1">
      <x:c r="A38" s="13" t="str">
        <x:v>P3-03</x:v>
      </x:c>
      <x:c r="B38" s="13" t="str">
        <x:v>내부 랜드마크 후보·추천 근거</x:v>
      </x:c>
      <x:c r="C38" s="13" t="str">
        <x:v>권리와 공개 범위가 확인된 내부 샘플을 지역·메타 조건으로 추림. 선택 장소 우선과 필수/제외를 지킴. RAG 검색·인기 순위의 입력/출력을 샘플로 분리하고 사진·근거·출처·대안을 보여줌.</x:v>
      </x:c>
      <x:c r="D38" s="13" t="str">
        <x:v>비공개 여행과 네이버 외부 결과를 공용 추천 자료에 섞지 않음. 샘플 인기값을 실제 성과·실제 RAG 결과로 표현하지 않음.</x:v>
      </x:c>
      <x:c r="E38" s="13" t="str">
        <x:v>F14·RAG 준비</x:v>
      </x:c>
    </x:row>
    <x:row r="39" ht="100" customHeight="1">
      <x:c r="A39" s="11" t="str">
        <x:v>P3-04</x:v>
      </x:c>
      <x:c r="B39" s="11" t="str">
        <x:v>음식점·숙소 보완 후보 승인</x:v>
      </x:c>
      <x:c r="C39" s="11" t="str">
        <x:v>랜드마크 기본 일정에 음식 시간·다음 스팟 방향·숙박 거점을 고려한 내부 샘플 후보를 제시함. 음식점/숙소 보완을 선택적으로 켜고 대안·제외·승인을 제공함. 2차 팝업·숙소 규격을 재사용함.</x:v>
      </x:c>
      <x:c r="D39" s="11" t="str">
        <x:v>승인 전 자동 삽입 금지. 선택·예약 숙소 유지, 후보 부족·거절·다른 지역 후보의 이유를 표시함. 예약·가격 비교 기능은 없음.</x:v>
      </x:c>
      <x:c r="E39" s="11" t="str">
        <x:v>F14·스팟 보완</x:v>
      </x:c>
    </x:row>
    <x:row r="40" ht="100" customHeight="1">
      <x:c r="A40" s="13" t="str">
        <x:v>P3-05</x:v>
      </x:c>
      <x:c r="B40" s="13" t="str">
        <x:v>DAY 결과·이동·미배치 설명</x:v>
      </x:c>
      <x:c r="C40" s="13" t="str">
        <x:v>DAY별 방문·체류·이동수단·구간 시간·출처·확인일을 보여줌. 좌표 없음·과밀·고정 시간 충돌·섬/도시 간 미연결·미배치 장소와 이유를 구분함. 승인 후 비공개 새 여행으로 적용함.</x:v>
      </x:c>
      <x:c r="D40" s="13" t="str">
        <x:v>필수 장소를 몰래 빼거나 여행 기간을 줄이지 않음. 직선거리를 실제 이동 시간으로 표시하지 않고 최적 경로를 보장하지 않음.</x:v>
      </x:c>
      <x:c r="E40" s="13" t="str">
        <x:v>F14</x:v>
      </x:c>
    </x:row>
    <x:row r="41" ht="100" customHeight="1">
      <x:c r="A41" s="11" t="str">
        <x:v>P3-06</x:v>
      </x:c>
      <x:c r="B41" s="11" t="str">
        <x:v>부분 재생성·고정 일정·변경 비교</x:v>
      </x:c>
      <x:c r="C41" s="11" t="str">
        <x:v>특정 DAY·오후·남은 일정의 수정 범위를 표시함. 덜 걷기/장소 제외 등을 조건으로 바꾸고 변경 전후를 보여줌. 원본 버전을 확인해 승인 후 변경분만 적용함.</x:v>
      </x:c>
      <x:c r="D41" s="11" t="str">
        <x:v>고정 장소·숙소·예약과 범위 밖 글·사진·카드 반응을 보존함. 뒤늦은 응답/재승인/취소가 최신 편집을 덮어쓰지 않음.</x:v>
      </x:c>
      <x:c r="E41" s="11" t="str">
        <x:v>F14·F17</x:v>
      </x:c>
    </x:row>
    <x:row r="42" ht="100" customHeight="1">
      <x:c r="A42" s="13" t="str">
        <x:v>P3-07</x:v>
      </x:c>
      <x:c r="B42" s="13" t="str">
        <x:v>여행 중 텍스트 관광 안내</x:v>
      </x:c>
      <x:c r="C42" s="13" t="str">
        <x:v>현재 여행·DAY 안에서 오늘 일정·다음 장소·볼거리·현장 이용 질문을 제공함. 여행 맥락·출처·확인일·모르는 정보를 표시함. 별도 하단 메뉴를 추가하지 않음.</x:v>
      </x:c>
      <x:c r="D42" s="13" t="str">
        <x:v>실제 후기·현재 영업·대기시간을 지어내지 않음. 긴급·알레르기·접근성 정보는 확인된 안내와 직접 확인 방법을 제공하는 샘플로 검증함.</x:v>
      </x:c>
      <x:c r="E42" s="13" t="str">
        <x:v>F15</x:v>
      </x:c>
    </x:row>
    <x:row r="43" ht="100" customHeight="1">
      <x:c r="A43" s="11" t="str">
        <x:v>P3-08</x:v>
      </x:c>
      <x:c r="B43" s="11" t="str">
        <x:v>한국어·영어 UI와 한글 주소</x:v>
      </x:c>
      <x:c r="C43" s="11" t="str">
        <x:v>메뉴·버튼·오류 문구를 한/영 리소스로 관리함. 언어 전환에도 여행·DAY·선택을 유지하고 긴 영어의 줄바꿈을 검수함. 한글 장소명·주소 크게 보기와 복사를 제공함.</x:v>
      </x:c>
      <x:c r="D43" s="11" t="str">
        <x:v>320px에서도 글자 축소 없이 정보·동작 접근 가능. 영어 전환이 한국어 원본 데이터와 ID를 변경하지 않음.</x:v>
      </x:c>
      <x:c r="E43" s="11" t="str">
        <x:v>F16</x:v>
      </x:c>
    </x:row>
    <x:row r="44" ht="100" customHeight="1">
      <x:c r="A44" s="13" t="str">
        <x:v>P3-09</x:v>
      </x:c>
      <x:c r="B44" s="13" t="str">
        <x:v>원문·자동번역·검수·갱신 상태</x:v>
      </x:c>
      <x:c r="C44" s="13" t="str">
        <x:v>여행기/사진 설명/요청형 댓글 번역을 원문버전·언어·용어집버전으로 연결함. 원문 보기·자동번역·검수 완료·원문 변경 후 재번역 필요를 구분하고 같은 응답을 재사용함.</x:v>
      </x:c>
      <x:c r="D44" s="13" t="str">
        <x:v>장소·주소·전화·금액·날짜·출구 번호와 부정 표현의 의미 보존. 원문 수정 시 오래된 번역을 최신으로 표시하지 않음.</x:v>
      </x:c>
      <x:c r="E44" s="13" t="str">
        <x:v>F16·F17</x:v>
      </x:c>
    </x:row>
    <x:row r="45" ht="100" customHeight="1">
      <x:c r="A45" s="11" t="str">
        <x:v>P3-10</x:v>
      </x:c>
      <x:c r="B45" s="11" t="str">
        <x:v>취소·지연·실패·권한 샘플</x:v>
      </x:c>
      <x:c r="C45" s="11" t="str">
        <x:v>시간 초과·자료 부족·API 오류·횟수 제한·생성 취소·중복 요청·후보 거절을 재현할 샘플을 준비함. 재시도 범위·요청ID와 비공개 접근 거절을 UI와 계약 수준에서 검사함.</x:v>
      </x:c>
      <x:c r="D45" s="11" t="str">
        <x:v>취소된 응답을 늦게 적용하지 않음. 권한 샘플 테스트를 실제 서버 보안 완료로 설명하지 않음. 기존 여행은 실패 시 불변임.</x:v>
      </x:c>
      <x:c r="E45" s="11" t="str">
        <x:v>F17</x:v>
      </x:c>
    </x:row>
    <x:row r="46" ht="100" customHeight="1">
      <x:c r="A46" s="13" t="str">
        <x:v>P3-11</x:v>
      </x:c>
      <x:c r="B46" s="13" t="str">
        <x:v>3차 전체 시나리오·영어·Android 검수</x:v>
      </x:c>
      <x:c r="C46" s="13" t="str">
        <x:v>서울 대중교통/도보·제주 자동차·부산 혼합 이동 샘플로 저장→추천→승인→부분 수정→작성→안내→영어를 검수함. 기존 공개 AI 여행·사진 피드·지도·출처·카드 스레드도 회귀 확인함.</x:v>
      </x:c>
      <x:c r="D46" s="13" t="str">
        <x:v>범위 밖 데이터와 원문 유지, 취소/재시도 정상, 각 실패 이유 표시. 모바일웹·Android 검사 결과를 구분하고 미실시를 명시함.</x:v>
      </x:c>
      <x:c r="E46" s="13" t="str">
        <x:v>F18</x:v>
      </x:c>
    </x:row>
    <x:row r="47" ht="100" customHeight="1">
      <x:c r="A47" s="32" t="str">
        <x:v>P3-12</x:v>
      </x:c>
      <x:c r="B47" s="32" t="str">
        <x:v>3차 수정 여유·백엔드 연결 인계</x:v>
      </x:c>
      <x:c r="C47" s="32" t="str">
        <x:v>통합·번역·잠금·경합 결함을 수정함. 요청/응답 예시·권한/출처 필드·실패 코드·후속 계약 확인 사항을 인계함. 실제 RAG·교통·LLM·번역·외부 검색은 별도 백엔드 목록으로 유지함.</x:v>
      </x:c>
      <x:c r="D47" s="32" t="str">
        <x:v>프런트엔드 샘플 검증 완료와 실제 서비스 연결 미완료를 구분함. 검증 기록·잔여 이슈·다음 요청을 저장함.</x:v>
      </x:c>
      <x:c r="E47" s="32" t="str">
        <x:v>3차 완료 조건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8bb19b0e81714789"/>
  </x:tableParts>
</x:worksheet>
</file>

<file path=xl/worksheets/sheet4.xml><?xml version="1.0" encoding="utf-8"?>
<x:worksheet xmlns:x="http://schemas.openxmlformats.org/spreadsheetml/2006/main">
  <x:sheetPr>
    <x:tabColor rgb="FF23313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5" hidden="0" customWidth="1"/>
    <x:col min="2" max="2" width="31.8799991607666" hidden="0" customWidth="1"/>
    <x:col min="3" max="3" width="14.5" hidden="0" customWidth="1"/>
    <x:col min="4" max="4" width="14.5" hidden="0" customWidth="1"/>
    <x:col min="5" max="5" width="7.75" hidden="0" customWidth="1"/>
    <x:col min="6" max="6" width="7.75" hidden="0" customWidth="1"/>
    <x:col min="7" max="7" width="7.75" hidden="0" customWidth="1"/>
    <x:col min="8" max="8" width="7.75" hidden="0" customWidth="1"/>
    <x:col min="9" max="9" width="7.75" hidden="0" customWidth="1"/>
    <x:col min="10" max="10" width="7.75" hidden="0" customWidth="1"/>
    <x:col min="11" max="11" width="7.75" hidden="0" customWidth="1"/>
    <x:col min="12" max="12" width="7.75" hidden="0" customWidth="1"/>
    <x:col min="13" max="13" width="7.75" hidden="0" customWidth="1"/>
    <x:col min="14" max="14" width="7.75" hidden="0" customWidth="1"/>
    <x:col min="15" max="15" width="7.75" hidden="0" customWidth="1"/>
    <x:col min="16" max="16" width="7.75" hidden="0" customWidth="1"/>
    <x:col min="17" max="17" width="7.75" hidden="0" customWidth="1"/>
    <x:col min="18" max="18" width="7.75" hidden="0" customWidth="1"/>
    <x:col min="19" max="19" width="7.75" hidden="0" customWidth="1"/>
    <x:col min="20" max="20" width="7.75" hidden="0" customWidth="1"/>
    <x:col min="21" max="21" width="7.75" hidden="0" customWidth="1"/>
    <x:col min="22" max="22" width="7.75" hidden="0" customWidth="1"/>
    <x:col min="23" max="23" width="7.75" hidden="0" customWidth="1"/>
    <x:col min="24" max="24" width="7.75" hidden="0" customWidth="1"/>
    <x:col min="25" max="25" width="7.75" hidden="0" customWidth="1"/>
    <x:col min="26" max="26" width="7.75" hidden="0" customWidth="1"/>
    <x:col min="27" max="27" width="7.75" hidden="0" customWidth="1"/>
    <x:col min="28" max="28" width="7.75" hidden="0" customWidth="1"/>
    <x:col min="29" max="29" width="7.75" hidden="0" customWidth="1"/>
    <x:col min="30" max="30" width="7.75" hidden="0" customWidth="1"/>
    <x:col min="31" max="31" width="7.75" hidden="0" customWidth="1"/>
    <x:col min="32" max="32" width="7.75" hidden="0" customWidth="1"/>
    <x:col min="33" max="33" width="7.75" hidden="0" customWidth="1"/>
    <x:col min="34" max="34" width="7.75" hidden="0" customWidth="1"/>
  </x:cols>
  <x:sheetData>
    <x:row r="1" ht="28" customHeight="1">
      <x:c r="A1" s="6" t="str">
        <x:v>주간 개발 일정</x:v>
      </x:c>
      <x:c r="B1" s="6" t="str">
        <x:v>주간 개발 일정</x:v>
      </x:c>
      <x:c r="C1" s="6" t="str">
        <x:v>주간 개발 일정</x:v>
      </x:c>
      <x:c r="D1" s="6" t="str">
        <x:v>주간 개발 일정</x:v>
      </x:c>
      <x:c r="E1" s="6" t="str">
        <x:v>주간 개발 일정</x:v>
      </x:c>
      <x:c r="F1" s="6" t="str">
        <x:v>주간 개발 일정</x:v>
      </x:c>
      <x:c r="G1" s="6" t="str">
        <x:v>주간 개발 일정</x:v>
      </x:c>
      <x:c r="H1" s="6" t="str">
        <x:v>주간 개발 일정</x:v>
      </x:c>
      <x:c r="I1" s="6" t="str">
        <x:v>주간 개발 일정</x:v>
      </x:c>
      <x:c r="J1" s="6" t="str">
        <x:v>주간 개발 일정</x:v>
      </x:c>
      <x:c r="K1" s="6" t="str">
        <x:v>주간 개발 일정</x:v>
      </x:c>
      <x:c r="L1" s="6" t="str">
        <x:v>주간 개발 일정</x:v>
      </x:c>
      <x:c r="M1" s="6" t="str">
        <x:v>주간 개발 일정</x:v>
      </x:c>
      <x:c r="N1" s="6" t="str">
        <x:v>주간 개발 일정</x:v>
      </x:c>
      <x:c r="O1" s="6" t="str">
        <x:v>주간 개발 일정</x:v>
      </x:c>
      <x:c r="P1" s="6" t="str">
        <x:v>주간 개발 일정</x:v>
      </x:c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9" customHeight="1">
      <x:c r="A2" s="6" t="str">
        <x:v>주간 개발 일정</x:v>
      </x:c>
      <x:c r="B2" s="6" t="str">
        <x:v>주간 개발 일정</x:v>
      </x:c>
      <x:c r="C2" s="6" t="str">
        <x:v>주간 개발 일정</x:v>
      </x:c>
      <x:c r="D2" s="6" t="str">
        <x:v>주간 개발 일정</x:v>
      </x:c>
      <x:c r="E2" s="6" t="str">
        <x:v>주간 개발 일정</x:v>
      </x:c>
      <x:c r="F2" s="6" t="str">
        <x:v>주간 개발 일정</x:v>
      </x:c>
      <x:c r="G2" s="6" t="str">
        <x:v>주간 개발 일정</x:v>
      </x:c>
      <x:c r="H2" s="6" t="str">
        <x:v>주간 개발 일정</x:v>
      </x:c>
      <x:c r="I2" s="6" t="str">
        <x:v>주간 개발 일정</x:v>
      </x:c>
      <x:c r="J2" s="6" t="str">
        <x:v>주간 개발 일정</x:v>
      </x:c>
      <x:c r="K2" s="6" t="str">
        <x:v>주간 개발 일정</x:v>
      </x:c>
      <x:c r="L2" s="6" t="str">
        <x:v>주간 개발 일정</x:v>
      </x:c>
      <x:c r="M2" s="6" t="str">
        <x:v>주간 개발 일정</x:v>
      </x:c>
      <x:c r="N2" s="6" t="str">
        <x:v>주간 개발 일정</x:v>
      </x:c>
      <x:c r="O2" s="6" t="str">
        <x:v>주간 개발 일정</x:v>
      </x:c>
      <x:c r="P2" s="6" t="str">
        <x:v>주간 개발 일정</x:v>
      </x:c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</x:row>
    <x:row r="3" ht="34" customHeight="1">
      <x:c r="A3" s="8" t="str">
        <x:v>색이 있는 주에 해당 작업을 수행함. 날짜는 월요일 기준이며 휴일을 제외한 정확한 기간은 시작·종료 열을 확인함.</x:v>
      </x:c>
      <x:c r="B3" s="8" t="str">
        <x:v>색이 있는 주에 해당 작업을 수행함. 날짜는 월요일 기준이며 휴일을 제외한 정확한 기간은 시작·종료 열을 확인함.</x:v>
      </x:c>
      <x:c r="C3" s="8" t="str">
        <x:v>색이 있는 주에 해당 작업을 수행함. 날짜는 월요일 기준이며 휴일을 제외한 정확한 기간은 시작·종료 열을 확인함.</x:v>
      </x:c>
      <x:c r="D3" s="8" t="str">
        <x:v>색이 있는 주에 해당 작업을 수행함. 날짜는 월요일 기준이며 휴일을 제외한 정확한 기간은 시작·종료 열을 확인함.</x:v>
      </x:c>
      <x:c r="E3" s="8" t="str">
        <x:v>색이 있는 주에 해당 작업을 수행함. 날짜는 월요일 기준이며 휴일을 제외한 정확한 기간은 시작·종료 열을 확인함.</x:v>
      </x:c>
      <x:c r="F3" s="8" t="str">
        <x:v>색이 있는 주에 해당 작업을 수행함. 날짜는 월요일 기준이며 휴일을 제외한 정확한 기간은 시작·종료 열을 확인함.</x:v>
      </x:c>
      <x:c r="G3" s="8" t="str">
        <x:v>색이 있는 주에 해당 작업을 수행함. 날짜는 월요일 기준이며 휴일을 제외한 정확한 기간은 시작·종료 열을 확인함.</x:v>
      </x:c>
      <x:c r="H3" s="8" t="str">
        <x:v>색이 있는 주에 해당 작업을 수행함. 날짜는 월요일 기준이며 휴일을 제외한 정확한 기간은 시작·종료 열을 확인함.</x:v>
      </x:c>
      <x:c r="I3" s="8" t="str">
        <x:v>색이 있는 주에 해당 작업을 수행함. 날짜는 월요일 기준이며 휴일을 제외한 정확한 기간은 시작·종료 열을 확인함.</x:v>
      </x:c>
      <x:c r="J3" s="8" t="str">
        <x:v>색이 있는 주에 해당 작업을 수행함. 날짜는 월요일 기준이며 휴일을 제외한 정확한 기간은 시작·종료 열을 확인함.</x:v>
      </x:c>
      <x:c r="K3" s="8" t="str">
        <x:v>색이 있는 주에 해당 작업을 수행함. 날짜는 월요일 기준이며 휴일을 제외한 정확한 기간은 시작·종료 열을 확인함.</x:v>
      </x:c>
      <x:c r="L3" s="8" t="str">
        <x:v>색이 있는 주에 해당 작업을 수행함. 날짜는 월요일 기준이며 휴일을 제외한 정확한 기간은 시작·종료 열을 확인함.</x:v>
      </x:c>
      <x:c r="M3" s="8" t="str">
        <x:v>색이 있는 주에 해당 작업을 수행함. 날짜는 월요일 기준이며 휴일을 제외한 정확한 기간은 시작·종료 열을 확인함.</x:v>
      </x:c>
      <x:c r="N3" s="8" t="str">
        <x:v>색이 있는 주에 해당 작업을 수행함. 날짜는 월요일 기준이며 휴일을 제외한 정확한 기간은 시작·종료 열을 확인함.</x:v>
      </x:c>
      <x:c r="O3" s="8" t="str">
        <x:v>색이 있는 주에 해당 작업을 수행함. 날짜는 월요일 기준이며 휴일을 제외한 정확한 기간은 시작·종료 열을 확인함.</x:v>
      </x:c>
      <x:c r="P3" s="8" t="str">
        <x:v>색이 있는 주에 해당 작업을 수행함. 날짜는 월요일 기준이며 휴일을 제외한 정확한 기간은 시작·종료 열을 확인함.</x:v>
      </x:c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</x:row>
    <x:row r="4" ht="36" customHeight="1">
      <x:c r="A4" s="9" t="str">
        <x:v>작업 ID</x:v>
      </x:c>
      <x:c r="B4" s="9" t="str">
        <x:v>기능</x:v>
      </x:c>
      <x:c r="C4" s="9" t="str">
        <x:v>시작 예정</x:v>
      </x:c>
      <x:c r="D4" s="9" t="str">
        <x:v>종료 예정</x:v>
      </x:c>
      <x:c r="E4" s="65" t="n">
        <x:f>'전체 일정'!$A$5-WEEKDAY('전체 일정'!$A$5,2)+1</x:f>
        <x:v>46279</x:v>
      </x:c>
      <x:c r="F4" s="65" t="n">
        <x:f>E4+7</x:f>
        <x:v>46286</x:v>
      </x:c>
      <x:c r="G4" s="65" t="n">
        <x:f>F4+7</x:f>
        <x:v>46293</x:v>
      </x:c>
      <x:c r="H4" s="65" t="n">
        <x:f>G4+7</x:f>
        <x:v>46300</x:v>
      </x:c>
      <x:c r="I4" s="65" t="n">
        <x:f>H4+7</x:f>
        <x:v>46307</x:v>
      </x:c>
      <x:c r="J4" s="65" t="n">
        <x:f>I4+7</x:f>
        <x:v>46314</x:v>
      </x:c>
      <x:c r="K4" s="65" t="n">
        <x:f>J4+7</x:f>
        <x:v>46321</x:v>
      </x:c>
      <x:c r="L4" s="65" t="n">
        <x:f>K4+7</x:f>
        <x:v>46328</x:v>
      </x:c>
      <x:c r="M4" s="65" t="n">
        <x:f>L4+7</x:f>
        <x:v>46335</x:v>
      </x:c>
      <x:c r="N4" s="65" t="n">
        <x:f>M4+7</x:f>
        <x:v>46342</x:v>
      </x:c>
      <x:c r="O4" s="65" t="n">
        <x:f>N4+7</x:f>
        <x:v>46349</x:v>
      </x:c>
      <x:c r="P4" s="65" t="n">
        <x:f>O4+7</x:f>
        <x:v>46356</x:v>
      </x:c>
      <x:c r="Q4" s="65" t="n">
        <x:f>P4+7</x:f>
        <x:v>46363</x:v>
      </x:c>
      <x:c r="R4" s="65" t="n">
        <x:f>Q4+7</x:f>
        <x:v>46370</x:v>
      </x:c>
      <x:c r="S4" s="65" t="n">
        <x:f>R4+7</x:f>
        <x:v>46377</x:v>
      </x:c>
      <x:c r="T4" s="65" t="n">
        <x:f>S4+7</x:f>
        <x:v>46384</x:v>
      </x:c>
      <x:c r="U4" s="65" t="n">
        <x:f>T4+7</x:f>
        <x:v>46391</x:v>
      </x:c>
      <x:c r="V4" s="65" t="n">
        <x:f>U4+7</x:f>
        <x:v>46398</x:v>
      </x:c>
      <x:c r="W4" s="65" t="n">
        <x:f>V4+7</x:f>
        <x:v>46405</x:v>
      </x:c>
      <x:c r="X4" s="65" t="n">
        <x:f>W4+7</x:f>
        <x:v>46412</x:v>
      </x:c>
      <x:c r="Y4" s="65" t="n">
        <x:f>X4+7</x:f>
        <x:v>46419</x:v>
      </x:c>
      <x:c r="Z4" s="65" t="n">
        <x:f>Y4+7</x:f>
        <x:v>46426</x:v>
      </x:c>
      <x:c r="AA4" s="65" t="n">
        <x:f>Z4+7</x:f>
        <x:v>46433</x:v>
      </x:c>
      <x:c r="AB4" s="65" t="n">
        <x:f>AA4+7</x:f>
        <x:v>46440</x:v>
      </x:c>
      <x:c r="AC4" s="65" t="n">
        <x:f>AB4+7</x:f>
        <x:v>46447</x:v>
      </x:c>
      <x:c r="AD4" s="65" t="n">
        <x:f>AC4+7</x:f>
        <x:v>46454</x:v>
      </x:c>
      <x:c r="AE4" s="65" t="n">
        <x:f>AD4+7</x:f>
        <x:v>46461</x:v>
      </x:c>
      <x:c r="AF4" s="65" t="n">
        <x:f>AE4+7</x:f>
        <x:v>46468</x:v>
      </x:c>
      <x:c r="AG4" s="65" t="n">
        <x:f>AF4+7</x:f>
        <x:v>46475</x:v>
      </x:c>
      <x:c r="AH4" s="65" t="n">
        <x:f>AG4+7</x:f>
        <x:v>46482</x:v>
      </x:c>
    </x:row>
    <x:row r="5" ht="38" customHeight="1">
      <x:c r="A5" s="3" t="str">
        <x:v>P1-01</x:v>
      </x:c>
      <x:c r="B5" s="3" t="str">
        <x:v>기존 구현·기준 화면 확인</x:v>
      </x:c>
      <x:c r="C5" s="16" t="n">
        <x:f>'기능별 일정'!H5</x:f>
        <x:v>46280</x:v>
      </x:c>
      <x:c r="D5" s="16" t="n">
        <x:f>'기능별 일정'!I5</x:f>
        <x:v>46280</x:v>
      </x:c>
      <x:c r="E5" s="66" t="n">
        <x:f>IF(AND($C5&lt;=E$4+6,$D5&gt;=E$4),1,0)</x:f>
        <x:v>1</x:v>
      </x:c>
      <x:c r="F5" s="66" t="n">
        <x:f>IF(AND($C5&lt;=F$4+6,$D5&gt;=F$4),1,0)</x:f>
        <x:v>0</x:v>
      </x:c>
      <x:c r="G5" s="66" t="n">
        <x:f>IF(AND($C5&lt;=G$4+6,$D5&gt;=G$4),1,0)</x:f>
        <x:v>0</x:v>
      </x:c>
      <x:c r="H5" s="66" t="n">
        <x:f>IF(AND($C5&lt;=H$4+6,$D5&gt;=H$4),1,0)</x:f>
        <x:v>0</x:v>
      </x:c>
      <x:c r="I5" s="66" t="n">
        <x:f>IF(AND($C5&lt;=I$4+6,$D5&gt;=I$4),1,0)</x:f>
        <x:v>0</x:v>
      </x:c>
      <x:c r="J5" s="66" t="n">
        <x:f>IF(AND($C5&lt;=J$4+6,$D5&gt;=J$4),1,0)</x:f>
        <x:v>0</x:v>
      </x:c>
      <x:c r="K5" s="66" t="n">
        <x:f>IF(AND($C5&lt;=K$4+6,$D5&gt;=K$4),1,0)</x:f>
        <x:v>0</x:v>
      </x:c>
      <x:c r="L5" s="66" t="n">
        <x:f>IF(AND($C5&lt;=L$4+6,$D5&gt;=L$4),1,0)</x:f>
        <x:v>0</x:v>
      </x:c>
      <x:c r="M5" s="66" t="n">
        <x:f>IF(AND($C5&lt;=M$4+6,$D5&gt;=M$4),1,0)</x:f>
        <x:v>0</x:v>
      </x:c>
      <x:c r="N5" s="66" t="n">
        <x:f>IF(AND($C5&lt;=N$4+6,$D5&gt;=N$4),1,0)</x:f>
        <x:v>0</x:v>
      </x:c>
      <x:c r="O5" s="66" t="n">
        <x:f>IF(AND($C5&lt;=O$4+6,$D5&gt;=O$4),1,0)</x:f>
        <x:v>0</x:v>
      </x:c>
      <x:c r="P5" s="66" t="n">
        <x:f>IF(AND($C5&lt;=P$4+6,$D5&gt;=P$4),1,0)</x:f>
        <x:v>0</x:v>
      </x:c>
      <x:c r="Q5" s="66" t="n">
        <x:f>IF(AND($C5&lt;=Q$4+6,$D5&gt;=Q$4),1,0)</x:f>
        <x:v>0</x:v>
      </x:c>
      <x:c r="R5" s="66" t="n">
        <x:f>IF(AND($C5&lt;=R$4+6,$D5&gt;=R$4),1,0)</x:f>
        <x:v>0</x:v>
      </x:c>
      <x:c r="S5" s="66" t="n">
        <x:f>IF(AND($C5&lt;=S$4+6,$D5&gt;=S$4),1,0)</x:f>
        <x:v>0</x:v>
      </x:c>
      <x:c r="T5" s="66" t="n">
        <x:f>IF(AND($C5&lt;=T$4+6,$D5&gt;=T$4),1,0)</x:f>
        <x:v>0</x:v>
      </x:c>
      <x:c r="U5" s="66" t="n">
        <x:f>IF(AND($C5&lt;=U$4+6,$D5&gt;=U$4),1,0)</x:f>
        <x:v>0</x:v>
      </x:c>
      <x:c r="V5" s="66" t="n">
        <x:f>IF(AND($C5&lt;=V$4+6,$D5&gt;=V$4),1,0)</x:f>
        <x:v>0</x:v>
      </x:c>
      <x:c r="W5" s="66" t="n">
        <x:f>IF(AND($C5&lt;=W$4+6,$D5&gt;=W$4),1,0)</x:f>
        <x:v>0</x:v>
      </x:c>
      <x:c r="X5" s="66" t="n">
        <x:f>IF(AND($C5&lt;=X$4+6,$D5&gt;=X$4),1,0)</x:f>
        <x:v>0</x:v>
      </x:c>
      <x:c r="Y5" s="66" t="n">
        <x:f>IF(AND($C5&lt;=Y$4+6,$D5&gt;=Y$4),1,0)</x:f>
        <x:v>0</x:v>
      </x:c>
      <x:c r="Z5" s="66" t="n">
        <x:f>IF(AND($C5&lt;=Z$4+6,$D5&gt;=Z$4),1,0)</x:f>
        <x:v>0</x:v>
      </x:c>
      <x:c r="AA5" s="66" t="n">
        <x:f>IF(AND($C5&lt;=AA$4+6,$D5&gt;=AA$4),1,0)</x:f>
        <x:v>0</x:v>
      </x:c>
      <x:c r="AB5" s="66" t="n">
        <x:f>IF(AND($C5&lt;=AB$4+6,$D5&gt;=AB$4),1,0)</x:f>
        <x:v>0</x:v>
      </x:c>
      <x:c r="AC5" s="66" t="n">
        <x:f>IF(AND($C5&lt;=AC$4+6,$D5&gt;=AC$4),1,0)</x:f>
        <x:v>0</x:v>
      </x:c>
      <x:c r="AD5" s="66" t="n">
        <x:f>IF(AND($C5&lt;=AD$4+6,$D5&gt;=AD$4),1,0)</x:f>
        <x:v>0</x:v>
      </x:c>
      <x:c r="AE5" s="66" t="n">
        <x:f>IF(AND($C5&lt;=AE$4+6,$D5&gt;=AE$4),1,0)</x:f>
        <x:v>0</x:v>
      </x:c>
      <x:c r="AF5" s="66" t="n">
        <x:f>IF(AND($C5&lt;=AF$4+6,$D5&gt;=AF$4),1,0)</x:f>
        <x:v>0</x:v>
      </x:c>
      <x:c r="AG5" s="66" t="n">
        <x:f>IF(AND($C5&lt;=AG$4+6,$D5&gt;=AG$4),1,0)</x:f>
        <x:v>0</x:v>
      </x:c>
      <x:c r="AH5" s="66" t="n">
        <x:f>IF(AND($C5&lt;=AH$4+6,$D5&gt;=AH$4),1,0)</x:f>
        <x:v>0</x:v>
      </x:c>
    </x:row>
    <x:row r="6" ht="38" customHeight="1">
      <x:c r="A6" s="3" t="str">
        <x:v>P1-02</x:v>
      </x:c>
      <x:c r="B6" s="3" t="str">
        <x:v>폰트·버튼·하단 팝업 역할 점검</x:v>
      </x:c>
      <x:c r="C6" s="16" t="n">
        <x:f>'기능별 일정'!H6</x:f>
        <x:v>46281</x:v>
      </x:c>
      <x:c r="D6" s="16" t="n">
        <x:f>'기능별 일정'!I6</x:f>
        <x:v>46282</x:v>
      </x:c>
      <x:c r="E6" s="66" t="n">
        <x:f>IF(AND($C6&lt;=E$4+6,$D6&gt;=E$4),1,0)</x:f>
        <x:v>1</x:v>
      </x:c>
      <x:c r="F6" s="66" t="n">
        <x:f>IF(AND($C6&lt;=F$4+6,$D6&gt;=F$4),1,0)</x:f>
        <x:v>0</x:v>
      </x:c>
      <x:c r="G6" s="66" t="n">
        <x:f>IF(AND($C6&lt;=G$4+6,$D6&gt;=G$4),1,0)</x:f>
        <x:v>0</x:v>
      </x:c>
      <x:c r="H6" s="66" t="n">
        <x:f>IF(AND($C6&lt;=H$4+6,$D6&gt;=H$4),1,0)</x:f>
        <x:v>0</x:v>
      </x:c>
      <x:c r="I6" s="66" t="n">
        <x:f>IF(AND($C6&lt;=I$4+6,$D6&gt;=I$4),1,0)</x:f>
        <x:v>0</x:v>
      </x:c>
      <x:c r="J6" s="66" t="n">
        <x:f>IF(AND($C6&lt;=J$4+6,$D6&gt;=J$4),1,0)</x:f>
        <x:v>0</x:v>
      </x:c>
      <x:c r="K6" s="66" t="n">
        <x:f>IF(AND($C6&lt;=K$4+6,$D6&gt;=K$4),1,0)</x:f>
        <x:v>0</x:v>
      </x:c>
      <x:c r="L6" s="66" t="n">
        <x:f>IF(AND($C6&lt;=L$4+6,$D6&gt;=L$4),1,0)</x:f>
        <x:v>0</x:v>
      </x:c>
      <x:c r="M6" s="66" t="n">
        <x:f>IF(AND($C6&lt;=M$4+6,$D6&gt;=M$4),1,0)</x:f>
        <x:v>0</x:v>
      </x:c>
      <x:c r="N6" s="66" t="n">
        <x:f>IF(AND($C6&lt;=N$4+6,$D6&gt;=N$4),1,0)</x:f>
        <x:v>0</x:v>
      </x:c>
      <x:c r="O6" s="66" t="n">
        <x:f>IF(AND($C6&lt;=O$4+6,$D6&gt;=O$4),1,0)</x:f>
        <x:v>0</x:v>
      </x:c>
      <x:c r="P6" s="66" t="n">
        <x:f>IF(AND($C6&lt;=P$4+6,$D6&gt;=P$4),1,0)</x:f>
        <x:v>0</x:v>
      </x:c>
      <x:c r="Q6" s="66" t="n">
        <x:f>IF(AND($C6&lt;=Q$4+6,$D6&gt;=Q$4),1,0)</x:f>
        <x:v>0</x:v>
      </x:c>
      <x:c r="R6" s="66" t="n">
        <x:f>IF(AND($C6&lt;=R$4+6,$D6&gt;=R$4),1,0)</x:f>
        <x:v>0</x:v>
      </x:c>
      <x:c r="S6" s="66" t="n">
        <x:f>IF(AND($C6&lt;=S$4+6,$D6&gt;=S$4),1,0)</x:f>
        <x:v>0</x:v>
      </x:c>
      <x:c r="T6" s="66" t="n">
        <x:f>IF(AND($C6&lt;=T$4+6,$D6&gt;=T$4),1,0)</x:f>
        <x:v>0</x:v>
      </x:c>
      <x:c r="U6" s="66" t="n">
        <x:f>IF(AND($C6&lt;=U$4+6,$D6&gt;=U$4),1,0)</x:f>
        <x:v>0</x:v>
      </x:c>
      <x:c r="V6" s="66" t="n">
        <x:f>IF(AND($C6&lt;=V$4+6,$D6&gt;=V$4),1,0)</x:f>
        <x:v>0</x:v>
      </x:c>
      <x:c r="W6" s="66" t="n">
        <x:f>IF(AND($C6&lt;=W$4+6,$D6&gt;=W$4),1,0)</x:f>
        <x:v>0</x:v>
      </x:c>
      <x:c r="X6" s="66" t="n">
        <x:f>IF(AND($C6&lt;=X$4+6,$D6&gt;=X$4),1,0)</x:f>
        <x:v>0</x:v>
      </x:c>
      <x:c r="Y6" s="66" t="n">
        <x:f>IF(AND($C6&lt;=Y$4+6,$D6&gt;=Y$4),1,0)</x:f>
        <x:v>0</x:v>
      </x:c>
      <x:c r="Z6" s="66" t="n">
        <x:f>IF(AND($C6&lt;=Z$4+6,$D6&gt;=Z$4),1,0)</x:f>
        <x:v>0</x:v>
      </x:c>
      <x:c r="AA6" s="66" t="n">
        <x:f>IF(AND($C6&lt;=AA$4+6,$D6&gt;=AA$4),1,0)</x:f>
        <x:v>0</x:v>
      </x:c>
      <x:c r="AB6" s="66" t="n">
        <x:f>IF(AND($C6&lt;=AB$4+6,$D6&gt;=AB$4),1,0)</x:f>
        <x:v>0</x:v>
      </x:c>
      <x:c r="AC6" s="66" t="n">
        <x:f>IF(AND($C6&lt;=AC$4+6,$D6&gt;=AC$4),1,0)</x:f>
        <x:v>0</x:v>
      </x:c>
      <x:c r="AD6" s="66" t="n">
        <x:f>IF(AND($C6&lt;=AD$4+6,$D6&gt;=AD$4),1,0)</x:f>
        <x:v>0</x:v>
      </x:c>
      <x:c r="AE6" s="66" t="n">
        <x:f>IF(AND($C6&lt;=AE$4+6,$D6&gt;=AE$4),1,0)</x:f>
        <x:v>0</x:v>
      </x:c>
      <x:c r="AF6" s="66" t="n">
        <x:f>IF(AND($C6&lt;=AF$4+6,$D6&gt;=AF$4),1,0)</x:f>
        <x:v>0</x:v>
      </x:c>
      <x:c r="AG6" s="66" t="n">
        <x:f>IF(AND($C6&lt;=AG$4+6,$D6&gt;=AG$4),1,0)</x:f>
        <x:v>0</x:v>
      </x:c>
      <x:c r="AH6" s="66" t="n">
        <x:f>IF(AND($C6&lt;=AH$4+6,$D6&gt;=AH$4),1,0)</x:f>
        <x:v>0</x:v>
      </x:c>
    </x:row>
    <x:row r="7" ht="38" customHeight="1">
      <x:c r="A7" s="3" t="str">
        <x:v>P1-03</x:v>
      </x:c>
      <x:c r="B7" s="3" t="str">
        <x:v>로컬 저장·방문 ID·백업 검수</x:v>
      </x:c>
      <x:c r="C7" s="16" t="n">
        <x:f>'기능별 일정'!H7</x:f>
        <x:v>46283</x:v>
      </x:c>
      <x:c r="D7" s="16" t="n">
        <x:f>'기능별 일정'!I7</x:f>
        <x:v>46286</x:v>
      </x:c>
      <x:c r="E7" s="66" t="n">
        <x:f>IF(AND($C7&lt;=E$4+6,$D7&gt;=E$4),1,0)</x:f>
        <x:v>1</x:v>
      </x:c>
      <x:c r="F7" s="66" t="n">
        <x:f>IF(AND($C7&lt;=F$4+6,$D7&gt;=F$4),1,0)</x:f>
        <x:v>1</x:v>
      </x:c>
      <x:c r="G7" s="66" t="n">
        <x:f>IF(AND($C7&lt;=G$4+6,$D7&gt;=G$4),1,0)</x:f>
        <x:v>0</x:v>
      </x:c>
      <x:c r="H7" s="66" t="n">
        <x:f>IF(AND($C7&lt;=H$4+6,$D7&gt;=H$4),1,0)</x:f>
        <x:v>0</x:v>
      </x:c>
      <x:c r="I7" s="66" t="n">
        <x:f>IF(AND($C7&lt;=I$4+6,$D7&gt;=I$4),1,0)</x:f>
        <x:v>0</x:v>
      </x:c>
      <x:c r="J7" s="66" t="n">
        <x:f>IF(AND($C7&lt;=J$4+6,$D7&gt;=J$4),1,0)</x:f>
        <x:v>0</x:v>
      </x:c>
      <x:c r="K7" s="66" t="n">
        <x:f>IF(AND($C7&lt;=K$4+6,$D7&gt;=K$4),1,0)</x:f>
        <x:v>0</x:v>
      </x:c>
      <x:c r="L7" s="66" t="n">
        <x:f>IF(AND($C7&lt;=L$4+6,$D7&gt;=L$4),1,0)</x:f>
        <x:v>0</x:v>
      </x:c>
      <x:c r="M7" s="66" t="n">
        <x:f>IF(AND($C7&lt;=M$4+6,$D7&gt;=M$4),1,0)</x:f>
        <x:v>0</x:v>
      </x:c>
      <x:c r="N7" s="66" t="n">
        <x:f>IF(AND($C7&lt;=N$4+6,$D7&gt;=N$4),1,0)</x:f>
        <x:v>0</x:v>
      </x:c>
      <x:c r="O7" s="66" t="n">
        <x:f>IF(AND($C7&lt;=O$4+6,$D7&gt;=O$4),1,0)</x:f>
        <x:v>0</x:v>
      </x:c>
      <x:c r="P7" s="66" t="n">
        <x:f>IF(AND($C7&lt;=P$4+6,$D7&gt;=P$4),1,0)</x:f>
        <x:v>0</x:v>
      </x:c>
      <x:c r="Q7" s="66" t="n">
        <x:f>IF(AND($C7&lt;=Q$4+6,$D7&gt;=Q$4),1,0)</x:f>
        <x:v>0</x:v>
      </x:c>
      <x:c r="R7" s="66" t="n">
        <x:f>IF(AND($C7&lt;=R$4+6,$D7&gt;=R$4),1,0)</x:f>
        <x:v>0</x:v>
      </x:c>
      <x:c r="S7" s="66" t="n">
        <x:f>IF(AND($C7&lt;=S$4+6,$D7&gt;=S$4),1,0)</x:f>
        <x:v>0</x:v>
      </x:c>
      <x:c r="T7" s="66" t="n">
        <x:f>IF(AND($C7&lt;=T$4+6,$D7&gt;=T$4),1,0)</x:f>
        <x:v>0</x:v>
      </x:c>
      <x:c r="U7" s="66" t="n">
        <x:f>IF(AND($C7&lt;=U$4+6,$D7&gt;=U$4),1,0)</x:f>
        <x:v>0</x:v>
      </x:c>
      <x:c r="V7" s="66" t="n">
        <x:f>IF(AND($C7&lt;=V$4+6,$D7&gt;=V$4),1,0)</x:f>
        <x:v>0</x:v>
      </x:c>
      <x:c r="W7" s="66" t="n">
        <x:f>IF(AND($C7&lt;=W$4+6,$D7&gt;=W$4),1,0)</x:f>
        <x:v>0</x:v>
      </x:c>
      <x:c r="X7" s="66" t="n">
        <x:f>IF(AND($C7&lt;=X$4+6,$D7&gt;=X$4),1,0)</x:f>
        <x:v>0</x:v>
      </x:c>
      <x:c r="Y7" s="66" t="n">
        <x:f>IF(AND($C7&lt;=Y$4+6,$D7&gt;=Y$4),1,0)</x:f>
        <x:v>0</x:v>
      </x:c>
      <x:c r="Z7" s="66" t="n">
        <x:f>IF(AND($C7&lt;=Z$4+6,$D7&gt;=Z$4),1,0)</x:f>
        <x:v>0</x:v>
      </x:c>
      <x:c r="AA7" s="66" t="n">
        <x:f>IF(AND($C7&lt;=AA$4+6,$D7&gt;=AA$4),1,0)</x:f>
        <x:v>0</x:v>
      </x:c>
      <x:c r="AB7" s="66" t="n">
        <x:f>IF(AND($C7&lt;=AB$4+6,$D7&gt;=AB$4),1,0)</x:f>
        <x:v>0</x:v>
      </x:c>
      <x:c r="AC7" s="66" t="n">
        <x:f>IF(AND($C7&lt;=AC$4+6,$D7&gt;=AC$4),1,0)</x:f>
        <x:v>0</x:v>
      </x:c>
      <x:c r="AD7" s="66" t="n">
        <x:f>IF(AND($C7&lt;=AD$4+6,$D7&gt;=AD$4),1,0)</x:f>
        <x:v>0</x:v>
      </x:c>
      <x:c r="AE7" s="66" t="n">
        <x:f>IF(AND($C7&lt;=AE$4+6,$D7&gt;=AE$4),1,0)</x:f>
        <x:v>0</x:v>
      </x:c>
      <x:c r="AF7" s="66" t="n">
        <x:f>IF(AND($C7&lt;=AF$4+6,$D7&gt;=AF$4),1,0)</x:f>
        <x:v>0</x:v>
      </x:c>
      <x:c r="AG7" s="66" t="n">
        <x:f>IF(AND($C7&lt;=AG$4+6,$D7&gt;=AG$4),1,0)</x:f>
        <x:v>0</x:v>
      </x:c>
      <x:c r="AH7" s="66" t="n">
        <x:f>IF(AND($C7&lt;=AH$4+6,$D7&gt;=AH$4),1,0)</x:f>
        <x:v>0</x:v>
      </x:c>
    </x:row>
    <x:row r="8" ht="38" customHeight="1">
      <x:c r="A8" s="3" t="str">
        <x:v>P1-04</x:v>
      </x:c>
      <x:c r="B8" s="3" t="str">
        <x:v>검색·지역 필터·목록 복원</x:v>
      </x:c>
      <x:c r="C8" s="16" t="n">
        <x:f>'기능별 일정'!H8</x:f>
        <x:v>46287</x:v>
      </x:c>
      <x:c r="D8" s="16" t="n">
        <x:f>'기능별 일정'!I8</x:f>
        <x:v>46287</x:v>
      </x:c>
      <x:c r="E8" s="66" t="n">
        <x:f>IF(AND($C8&lt;=E$4+6,$D8&gt;=E$4),1,0)</x:f>
        <x:v>0</x:v>
      </x:c>
      <x:c r="F8" s="66" t="n">
        <x:f>IF(AND($C8&lt;=F$4+6,$D8&gt;=F$4),1,0)</x:f>
        <x:v>1</x:v>
      </x:c>
      <x:c r="G8" s="66" t="n">
        <x:f>IF(AND($C8&lt;=G$4+6,$D8&gt;=G$4),1,0)</x:f>
        <x:v>0</x:v>
      </x:c>
      <x:c r="H8" s="66" t="n">
        <x:f>IF(AND($C8&lt;=H$4+6,$D8&gt;=H$4),1,0)</x:f>
        <x:v>0</x:v>
      </x:c>
      <x:c r="I8" s="66" t="n">
        <x:f>IF(AND($C8&lt;=I$4+6,$D8&gt;=I$4),1,0)</x:f>
        <x:v>0</x:v>
      </x:c>
      <x:c r="J8" s="66" t="n">
        <x:f>IF(AND($C8&lt;=J$4+6,$D8&gt;=J$4),1,0)</x:f>
        <x:v>0</x:v>
      </x:c>
      <x:c r="K8" s="66" t="n">
        <x:f>IF(AND($C8&lt;=K$4+6,$D8&gt;=K$4),1,0)</x:f>
        <x:v>0</x:v>
      </x:c>
      <x:c r="L8" s="66" t="n">
        <x:f>IF(AND($C8&lt;=L$4+6,$D8&gt;=L$4),1,0)</x:f>
        <x:v>0</x:v>
      </x:c>
      <x:c r="M8" s="66" t="n">
        <x:f>IF(AND($C8&lt;=M$4+6,$D8&gt;=M$4),1,0)</x:f>
        <x:v>0</x:v>
      </x:c>
      <x:c r="N8" s="66" t="n">
        <x:f>IF(AND($C8&lt;=N$4+6,$D8&gt;=N$4),1,0)</x:f>
        <x:v>0</x:v>
      </x:c>
      <x:c r="O8" s="66" t="n">
        <x:f>IF(AND($C8&lt;=O$4+6,$D8&gt;=O$4),1,0)</x:f>
        <x:v>0</x:v>
      </x:c>
      <x:c r="P8" s="66" t="n">
        <x:f>IF(AND($C8&lt;=P$4+6,$D8&gt;=P$4),1,0)</x:f>
        <x:v>0</x:v>
      </x:c>
      <x:c r="Q8" s="66" t="n">
        <x:f>IF(AND($C8&lt;=Q$4+6,$D8&gt;=Q$4),1,0)</x:f>
        <x:v>0</x:v>
      </x:c>
      <x:c r="R8" s="66" t="n">
        <x:f>IF(AND($C8&lt;=R$4+6,$D8&gt;=R$4),1,0)</x:f>
        <x:v>0</x:v>
      </x:c>
      <x:c r="S8" s="66" t="n">
        <x:f>IF(AND($C8&lt;=S$4+6,$D8&gt;=S$4),1,0)</x:f>
        <x:v>0</x:v>
      </x:c>
      <x:c r="T8" s="66" t="n">
        <x:f>IF(AND($C8&lt;=T$4+6,$D8&gt;=T$4),1,0)</x:f>
        <x:v>0</x:v>
      </x:c>
      <x:c r="U8" s="66" t="n">
        <x:f>IF(AND($C8&lt;=U$4+6,$D8&gt;=U$4),1,0)</x:f>
        <x:v>0</x:v>
      </x:c>
      <x:c r="V8" s="66" t="n">
        <x:f>IF(AND($C8&lt;=V$4+6,$D8&gt;=V$4),1,0)</x:f>
        <x:v>0</x:v>
      </x:c>
      <x:c r="W8" s="66" t="n">
        <x:f>IF(AND($C8&lt;=W$4+6,$D8&gt;=W$4),1,0)</x:f>
        <x:v>0</x:v>
      </x:c>
      <x:c r="X8" s="66" t="n">
        <x:f>IF(AND($C8&lt;=X$4+6,$D8&gt;=X$4),1,0)</x:f>
        <x:v>0</x:v>
      </x:c>
      <x:c r="Y8" s="66" t="n">
        <x:f>IF(AND($C8&lt;=Y$4+6,$D8&gt;=Y$4),1,0)</x:f>
        <x:v>0</x:v>
      </x:c>
      <x:c r="Z8" s="66" t="n">
        <x:f>IF(AND($C8&lt;=Z$4+6,$D8&gt;=Z$4),1,0)</x:f>
        <x:v>0</x:v>
      </x:c>
      <x:c r="AA8" s="66" t="n">
        <x:f>IF(AND($C8&lt;=AA$4+6,$D8&gt;=AA$4),1,0)</x:f>
        <x:v>0</x:v>
      </x:c>
      <x:c r="AB8" s="66" t="n">
        <x:f>IF(AND($C8&lt;=AB$4+6,$D8&gt;=AB$4),1,0)</x:f>
        <x:v>0</x:v>
      </x:c>
      <x:c r="AC8" s="66" t="n">
        <x:f>IF(AND($C8&lt;=AC$4+6,$D8&gt;=AC$4),1,0)</x:f>
        <x:v>0</x:v>
      </x:c>
      <x:c r="AD8" s="66" t="n">
        <x:f>IF(AND($C8&lt;=AD$4+6,$D8&gt;=AD$4),1,0)</x:f>
        <x:v>0</x:v>
      </x:c>
      <x:c r="AE8" s="66" t="n">
        <x:f>IF(AND($C8&lt;=AE$4+6,$D8&gt;=AE$4),1,0)</x:f>
        <x:v>0</x:v>
      </x:c>
      <x:c r="AF8" s="66" t="n">
        <x:f>IF(AND($C8&lt;=AF$4+6,$D8&gt;=AF$4),1,0)</x:f>
        <x:v>0</x:v>
      </x:c>
      <x:c r="AG8" s="66" t="n">
        <x:f>IF(AND($C8&lt;=AG$4+6,$D8&gt;=AG$4),1,0)</x:f>
        <x:v>0</x:v>
      </x:c>
      <x:c r="AH8" s="66" t="n">
        <x:f>IF(AND($C8&lt;=AH$4+6,$D8&gt;=AH$4),1,0)</x:f>
        <x:v>0</x:v>
      </x:c>
    </x:row>
    <x:row r="9" ht="38" customHeight="1">
      <x:c r="A9" s="3" t="str">
        <x:v>P1-05</x:v>
      </x:c>
      <x:c r="B9" s="3" t="str">
        <x:v>저장 목록·여행 만들기 진입</x:v>
      </x:c>
      <x:c r="C9" s="16" t="n">
        <x:f>'기능별 일정'!H9</x:f>
        <x:v>46288</x:v>
      </x:c>
      <x:c r="D9" s="16" t="n">
        <x:f>'기능별 일정'!I9</x:f>
        <x:v>46288</x:v>
      </x:c>
      <x:c r="E9" s="66" t="n">
        <x:f>IF(AND($C9&lt;=E$4+6,$D9&gt;=E$4),1,0)</x:f>
        <x:v>0</x:v>
      </x:c>
      <x:c r="F9" s="66" t="n">
        <x:f>IF(AND($C9&lt;=F$4+6,$D9&gt;=F$4),1,0)</x:f>
        <x:v>1</x:v>
      </x:c>
      <x:c r="G9" s="66" t="n">
        <x:f>IF(AND($C9&lt;=G$4+6,$D9&gt;=G$4),1,0)</x:f>
        <x:v>0</x:v>
      </x:c>
      <x:c r="H9" s="66" t="n">
        <x:f>IF(AND($C9&lt;=H$4+6,$D9&gt;=H$4),1,0)</x:f>
        <x:v>0</x:v>
      </x:c>
      <x:c r="I9" s="66" t="n">
        <x:f>IF(AND($C9&lt;=I$4+6,$D9&gt;=I$4),1,0)</x:f>
        <x:v>0</x:v>
      </x:c>
      <x:c r="J9" s="66" t="n">
        <x:f>IF(AND($C9&lt;=J$4+6,$D9&gt;=J$4),1,0)</x:f>
        <x:v>0</x:v>
      </x:c>
      <x:c r="K9" s="66" t="n">
        <x:f>IF(AND($C9&lt;=K$4+6,$D9&gt;=K$4),1,0)</x:f>
        <x:v>0</x:v>
      </x:c>
      <x:c r="L9" s="66" t="n">
        <x:f>IF(AND($C9&lt;=L$4+6,$D9&gt;=L$4),1,0)</x:f>
        <x:v>0</x:v>
      </x:c>
      <x:c r="M9" s="66" t="n">
        <x:f>IF(AND($C9&lt;=M$4+6,$D9&gt;=M$4),1,0)</x:f>
        <x:v>0</x:v>
      </x:c>
      <x:c r="N9" s="66" t="n">
        <x:f>IF(AND($C9&lt;=N$4+6,$D9&gt;=N$4),1,0)</x:f>
        <x:v>0</x:v>
      </x:c>
      <x:c r="O9" s="66" t="n">
        <x:f>IF(AND($C9&lt;=O$4+6,$D9&gt;=O$4),1,0)</x:f>
        <x:v>0</x:v>
      </x:c>
      <x:c r="P9" s="66" t="n">
        <x:f>IF(AND($C9&lt;=P$4+6,$D9&gt;=P$4),1,0)</x:f>
        <x:v>0</x:v>
      </x:c>
      <x:c r="Q9" s="66" t="n">
        <x:f>IF(AND($C9&lt;=Q$4+6,$D9&gt;=Q$4),1,0)</x:f>
        <x:v>0</x:v>
      </x:c>
      <x:c r="R9" s="66" t="n">
        <x:f>IF(AND($C9&lt;=R$4+6,$D9&gt;=R$4),1,0)</x:f>
        <x:v>0</x:v>
      </x:c>
      <x:c r="S9" s="66" t="n">
        <x:f>IF(AND($C9&lt;=S$4+6,$D9&gt;=S$4),1,0)</x:f>
        <x:v>0</x:v>
      </x:c>
      <x:c r="T9" s="66" t="n">
        <x:f>IF(AND($C9&lt;=T$4+6,$D9&gt;=T$4),1,0)</x:f>
        <x:v>0</x:v>
      </x:c>
      <x:c r="U9" s="66" t="n">
        <x:f>IF(AND($C9&lt;=U$4+6,$D9&gt;=U$4),1,0)</x:f>
        <x:v>0</x:v>
      </x:c>
      <x:c r="V9" s="66" t="n">
        <x:f>IF(AND($C9&lt;=V$4+6,$D9&gt;=V$4),1,0)</x:f>
        <x:v>0</x:v>
      </x:c>
      <x:c r="W9" s="66" t="n">
        <x:f>IF(AND($C9&lt;=W$4+6,$D9&gt;=W$4),1,0)</x:f>
        <x:v>0</x:v>
      </x:c>
      <x:c r="X9" s="66" t="n">
        <x:f>IF(AND($C9&lt;=X$4+6,$D9&gt;=X$4),1,0)</x:f>
        <x:v>0</x:v>
      </x:c>
      <x:c r="Y9" s="66" t="n">
        <x:f>IF(AND($C9&lt;=Y$4+6,$D9&gt;=Y$4),1,0)</x:f>
        <x:v>0</x:v>
      </x:c>
      <x:c r="Z9" s="66" t="n">
        <x:f>IF(AND($C9&lt;=Z$4+6,$D9&gt;=Z$4),1,0)</x:f>
        <x:v>0</x:v>
      </x:c>
      <x:c r="AA9" s="66" t="n">
        <x:f>IF(AND($C9&lt;=AA$4+6,$D9&gt;=AA$4),1,0)</x:f>
        <x:v>0</x:v>
      </x:c>
      <x:c r="AB9" s="66" t="n">
        <x:f>IF(AND($C9&lt;=AB$4+6,$D9&gt;=AB$4),1,0)</x:f>
        <x:v>0</x:v>
      </x:c>
      <x:c r="AC9" s="66" t="n">
        <x:f>IF(AND($C9&lt;=AC$4+6,$D9&gt;=AC$4),1,0)</x:f>
        <x:v>0</x:v>
      </x:c>
      <x:c r="AD9" s="66" t="n">
        <x:f>IF(AND($C9&lt;=AD$4+6,$D9&gt;=AD$4),1,0)</x:f>
        <x:v>0</x:v>
      </x:c>
      <x:c r="AE9" s="66" t="n">
        <x:f>IF(AND($C9&lt;=AE$4+6,$D9&gt;=AE$4),1,0)</x:f>
        <x:v>0</x:v>
      </x:c>
      <x:c r="AF9" s="66" t="n">
        <x:f>IF(AND($C9&lt;=AF$4+6,$D9&gt;=AF$4),1,0)</x:f>
        <x:v>0</x:v>
      </x:c>
      <x:c r="AG9" s="66" t="n">
        <x:f>IF(AND($C9&lt;=AG$4+6,$D9&gt;=AG$4),1,0)</x:f>
        <x:v>0</x:v>
      </x:c>
      <x:c r="AH9" s="66" t="n">
        <x:f>IF(AND($C9&lt;=AH$4+6,$D9&gt;=AH$4),1,0)</x:f>
        <x:v>0</x:v>
      </x:c>
    </x:row>
    <x:row r="10" ht="38" customHeight="1">
      <x:c r="A10" s="3" t="str">
        <x:v>P1-06</x:v>
      </x:c>
      <x:c r="B10" s="3" t="str">
        <x:v>기간·시작일·여행·DAY 선택</x:v>
      </x:c>
      <x:c r="C10" s="16" t="n">
        <x:f>'기능별 일정'!H10</x:f>
        <x:v>46293</x:v>
      </x:c>
      <x:c r="D10" s="16" t="n">
        <x:f>'기능별 일정'!I10</x:f>
        <x:v>46294</x:v>
      </x:c>
      <x:c r="E10" s="66" t="n">
        <x:f>IF(AND($C10&lt;=E$4+6,$D10&gt;=E$4),1,0)</x:f>
        <x:v>0</x:v>
      </x:c>
      <x:c r="F10" s="66" t="n">
        <x:f>IF(AND($C10&lt;=F$4+6,$D10&gt;=F$4),1,0)</x:f>
        <x:v>0</x:v>
      </x:c>
      <x:c r="G10" s="66" t="n">
        <x:f>IF(AND($C10&lt;=G$4+6,$D10&gt;=G$4),1,0)</x:f>
        <x:v>1</x:v>
      </x:c>
      <x:c r="H10" s="66" t="n">
        <x:f>IF(AND($C10&lt;=H$4+6,$D10&gt;=H$4),1,0)</x:f>
        <x:v>0</x:v>
      </x:c>
      <x:c r="I10" s="66" t="n">
        <x:f>IF(AND($C10&lt;=I$4+6,$D10&gt;=I$4),1,0)</x:f>
        <x:v>0</x:v>
      </x:c>
      <x:c r="J10" s="66" t="n">
        <x:f>IF(AND($C10&lt;=J$4+6,$D10&gt;=J$4),1,0)</x:f>
        <x:v>0</x:v>
      </x:c>
      <x:c r="K10" s="66" t="n">
        <x:f>IF(AND($C10&lt;=K$4+6,$D10&gt;=K$4),1,0)</x:f>
        <x:v>0</x:v>
      </x:c>
      <x:c r="L10" s="66" t="n">
        <x:f>IF(AND($C10&lt;=L$4+6,$D10&gt;=L$4),1,0)</x:f>
        <x:v>0</x:v>
      </x:c>
      <x:c r="M10" s="66" t="n">
        <x:f>IF(AND($C10&lt;=M$4+6,$D10&gt;=M$4),1,0)</x:f>
        <x:v>0</x:v>
      </x:c>
      <x:c r="N10" s="66" t="n">
        <x:f>IF(AND($C10&lt;=N$4+6,$D10&gt;=N$4),1,0)</x:f>
        <x:v>0</x:v>
      </x:c>
      <x:c r="O10" s="66" t="n">
        <x:f>IF(AND($C10&lt;=O$4+6,$D10&gt;=O$4),1,0)</x:f>
        <x:v>0</x:v>
      </x:c>
      <x:c r="P10" s="66" t="n">
        <x:f>IF(AND($C10&lt;=P$4+6,$D10&gt;=P$4),1,0)</x:f>
        <x:v>0</x:v>
      </x:c>
      <x:c r="Q10" s="66" t="n">
        <x:f>IF(AND($C10&lt;=Q$4+6,$D10&gt;=Q$4),1,0)</x:f>
        <x:v>0</x:v>
      </x:c>
      <x:c r="R10" s="66" t="n">
        <x:f>IF(AND($C10&lt;=R$4+6,$D10&gt;=R$4),1,0)</x:f>
        <x:v>0</x:v>
      </x:c>
      <x:c r="S10" s="66" t="n">
        <x:f>IF(AND($C10&lt;=S$4+6,$D10&gt;=S$4),1,0)</x:f>
        <x:v>0</x:v>
      </x:c>
      <x:c r="T10" s="66" t="n">
        <x:f>IF(AND($C10&lt;=T$4+6,$D10&gt;=T$4),1,0)</x:f>
        <x:v>0</x:v>
      </x:c>
      <x:c r="U10" s="66" t="n">
        <x:f>IF(AND($C10&lt;=U$4+6,$D10&gt;=U$4),1,0)</x:f>
        <x:v>0</x:v>
      </x:c>
      <x:c r="V10" s="66" t="n">
        <x:f>IF(AND($C10&lt;=V$4+6,$D10&gt;=V$4),1,0)</x:f>
        <x:v>0</x:v>
      </x:c>
      <x:c r="W10" s="66" t="n">
        <x:f>IF(AND($C10&lt;=W$4+6,$D10&gt;=W$4),1,0)</x:f>
        <x:v>0</x:v>
      </x:c>
      <x:c r="X10" s="66" t="n">
        <x:f>IF(AND($C10&lt;=X$4+6,$D10&gt;=X$4),1,0)</x:f>
        <x:v>0</x:v>
      </x:c>
      <x:c r="Y10" s="66" t="n">
        <x:f>IF(AND($C10&lt;=Y$4+6,$D10&gt;=Y$4),1,0)</x:f>
        <x:v>0</x:v>
      </x:c>
      <x:c r="Z10" s="66" t="n">
        <x:f>IF(AND($C10&lt;=Z$4+6,$D10&gt;=Z$4),1,0)</x:f>
        <x:v>0</x:v>
      </x:c>
      <x:c r="AA10" s="66" t="n">
        <x:f>IF(AND($C10&lt;=AA$4+6,$D10&gt;=AA$4),1,0)</x:f>
        <x:v>0</x:v>
      </x:c>
      <x:c r="AB10" s="66" t="n">
        <x:f>IF(AND($C10&lt;=AB$4+6,$D10&gt;=AB$4),1,0)</x:f>
        <x:v>0</x:v>
      </x:c>
      <x:c r="AC10" s="66" t="n">
        <x:f>IF(AND($C10&lt;=AC$4+6,$D10&gt;=AC$4),1,0)</x:f>
        <x:v>0</x:v>
      </x:c>
      <x:c r="AD10" s="66" t="n">
        <x:f>IF(AND($C10&lt;=AD$4+6,$D10&gt;=AD$4),1,0)</x:f>
        <x:v>0</x:v>
      </x:c>
      <x:c r="AE10" s="66" t="n">
        <x:f>IF(AND($C10&lt;=AE$4+6,$D10&gt;=AE$4),1,0)</x:f>
        <x:v>0</x:v>
      </x:c>
      <x:c r="AF10" s="66" t="n">
        <x:f>IF(AND($C10&lt;=AF$4+6,$D10&gt;=AF$4),1,0)</x:f>
        <x:v>0</x:v>
      </x:c>
      <x:c r="AG10" s="66" t="n">
        <x:f>IF(AND($C10&lt;=AG$4+6,$D10&gt;=AG$4),1,0)</x:f>
        <x:v>0</x:v>
      </x:c>
      <x:c r="AH10" s="66" t="n">
        <x:f>IF(AND($C10&lt;=AH$4+6,$D10&gt;=AH$4),1,0)</x:f>
        <x:v>0</x:v>
      </x:c>
    </x:row>
    <x:row r="11" ht="38" customHeight="1">
      <x:c r="A11" s="3" t="str">
        <x:v>P1-07</x:v>
      </x:c>
      <x:c r="B11" s="3" t="str">
        <x:v>저장·담김·해제·재방문 일치</x:v>
      </x:c>
      <x:c r="C11" s="16" t="n">
        <x:f>'기능별 일정'!H11</x:f>
        <x:v>46295</x:v>
      </x:c>
      <x:c r="D11" s="16" t="n">
        <x:f>'기능별 일정'!I11</x:f>
        <x:v>46295</x:v>
      </x:c>
      <x:c r="E11" s="66" t="n">
        <x:f>IF(AND($C11&lt;=E$4+6,$D11&gt;=E$4),1,0)</x:f>
        <x:v>0</x:v>
      </x:c>
      <x:c r="F11" s="66" t="n">
        <x:f>IF(AND($C11&lt;=F$4+6,$D11&gt;=F$4),1,0)</x:f>
        <x:v>0</x:v>
      </x:c>
      <x:c r="G11" s="66" t="n">
        <x:f>IF(AND($C11&lt;=G$4+6,$D11&gt;=G$4),1,0)</x:f>
        <x:v>1</x:v>
      </x:c>
      <x:c r="H11" s="66" t="n">
        <x:f>IF(AND($C11&lt;=H$4+6,$D11&gt;=H$4),1,0)</x:f>
        <x:v>0</x:v>
      </x:c>
      <x:c r="I11" s="66" t="n">
        <x:f>IF(AND($C11&lt;=I$4+6,$D11&gt;=I$4),1,0)</x:f>
        <x:v>0</x:v>
      </x:c>
      <x:c r="J11" s="66" t="n">
        <x:f>IF(AND($C11&lt;=J$4+6,$D11&gt;=J$4),1,0)</x:f>
        <x:v>0</x:v>
      </x:c>
      <x:c r="K11" s="66" t="n">
        <x:f>IF(AND($C11&lt;=K$4+6,$D11&gt;=K$4),1,0)</x:f>
        <x:v>0</x:v>
      </x:c>
      <x:c r="L11" s="66" t="n">
        <x:f>IF(AND($C11&lt;=L$4+6,$D11&gt;=L$4),1,0)</x:f>
        <x:v>0</x:v>
      </x:c>
      <x:c r="M11" s="66" t="n">
        <x:f>IF(AND($C11&lt;=M$4+6,$D11&gt;=M$4),1,0)</x:f>
        <x:v>0</x:v>
      </x:c>
      <x:c r="N11" s="66" t="n">
        <x:f>IF(AND($C11&lt;=N$4+6,$D11&gt;=N$4),1,0)</x:f>
        <x:v>0</x:v>
      </x:c>
      <x:c r="O11" s="66" t="n">
        <x:f>IF(AND($C11&lt;=O$4+6,$D11&gt;=O$4),1,0)</x:f>
        <x:v>0</x:v>
      </x:c>
      <x:c r="P11" s="66" t="n">
        <x:f>IF(AND($C11&lt;=P$4+6,$D11&gt;=P$4),1,0)</x:f>
        <x:v>0</x:v>
      </x:c>
      <x:c r="Q11" s="66" t="n">
        <x:f>IF(AND($C11&lt;=Q$4+6,$D11&gt;=Q$4),1,0)</x:f>
        <x:v>0</x:v>
      </x:c>
      <x:c r="R11" s="66" t="n">
        <x:f>IF(AND($C11&lt;=R$4+6,$D11&gt;=R$4),1,0)</x:f>
        <x:v>0</x:v>
      </x:c>
      <x:c r="S11" s="66" t="n">
        <x:f>IF(AND($C11&lt;=S$4+6,$D11&gt;=S$4),1,0)</x:f>
        <x:v>0</x:v>
      </x:c>
      <x:c r="T11" s="66" t="n">
        <x:f>IF(AND($C11&lt;=T$4+6,$D11&gt;=T$4),1,0)</x:f>
        <x:v>0</x:v>
      </x:c>
      <x:c r="U11" s="66" t="n">
        <x:f>IF(AND($C11&lt;=U$4+6,$D11&gt;=U$4),1,0)</x:f>
        <x:v>0</x:v>
      </x:c>
      <x:c r="V11" s="66" t="n">
        <x:f>IF(AND($C11&lt;=V$4+6,$D11&gt;=V$4),1,0)</x:f>
        <x:v>0</x:v>
      </x:c>
      <x:c r="W11" s="66" t="n">
        <x:f>IF(AND($C11&lt;=W$4+6,$D11&gt;=W$4),1,0)</x:f>
        <x:v>0</x:v>
      </x:c>
      <x:c r="X11" s="66" t="n">
        <x:f>IF(AND($C11&lt;=X$4+6,$D11&gt;=X$4),1,0)</x:f>
        <x:v>0</x:v>
      </x:c>
      <x:c r="Y11" s="66" t="n">
        <x:f>IF(AND($C11&lt;=Y$4+6,$D11&gt;=Y$4),1,0)</x:f>
        <x:v>0</x:v>
      </x:c>
      <x:c r="Z11" s="66" t="n">
        <x:f>IF(AND($C11&lt;=Z$4+6,$D11&gt;=Z$4),1,0)</x:f>
        <x:v>0</x:v>
      </x:c>
      <x:c r="AA11" s="66" t="n">
        <x:f>IF(AND($C11&lt;=AA$4+6,$D11&gt;=AA$4),1,0)</x:f>
        <x:v>0</x:v>
      </x:c>
      <x:c r="AB11" s="66" t="n">
        <x:f>IF(AND($C11&lt;=AB$4+6,$D11&gt;=AB$4),1,0)</x:f>
        <x:v>0</x:v>
      </x:c>
      <x:c r="AC11" s="66" t="n">
        <x:f>IF(AND($C11&lt;=AC$4+6,$D11&gt;=AC$4),1,0)</x:f>
        <x:v>0</x:v>
      </x:c>
      <x:c r="AD11" s="66" t="n">
        <x:f>IF(AND($C11&lt;=AD$4+6,$D11&gt;=AD$4),1,0)</x:f>
        <x:v>0</x:v>
      </x:c>
      <x:c r="AE11" s="66" t="n">
        <x:f>IF(AND($C11&lt;=AE$4+6,$D11&gt;=AE$4),1,0)</x:f>
        <x:v>0</x:v>
      </x:c>
      <x:c r="AF11" s="66" t="n">
        <x:f>IF(AND($C11&lt;=AF$4+6,$D11&gt;=AF$4),1,0)</x:f>
        <x:v>0</x:v>
      </x:c>
      <x:c r="AG11" s="66" t="n">
        <x:f>IF(AND($C11&lt;=AG$4+6,$D11&gt;=AG$4),1,0)</x:f>
        <x:v>0</x:v>
      </x:c>
      <x:c r="AH11" s="66" t="n">
        <x:f>IF(AND($C11&lt;=AH$4+6,$D11&gt;=AH$4),1,0)</x:f>
        <x:v>0</x:v>
      </x:c>
    </x:row>
    <x:row r="12" ht="38" customHeight="1">
      <x:c r="A12" s="3" t="str">
        <x:v>P1-08</x:v>
      </x:c>
      <x:c r="B12" s="3" t="str">
        <x:v>사진 쇼츠의 장소·사진 전환</x:v>
      </x:c>
      <x:c r="C12" s="16" t="n">
        <x:f>'기능별 일정'!H12</x:f>
        <x:v>46296</x:v>
      </x:c>
      <x:c r="D12" s="16" t="n">
        <x:f>'기능별 일정'!I12</x:f>
        <x:v>46296</x:v>
      </x:c>
      <x:c r="E12" s="66" t="n">
        <x:f>IF(AND($C12&lt;=E$4+6,$D12&gt;=E$4),1,0)</x:f>
        <x:v>0</x:v>
      </x:c>
      <x:c r="F12" s="66" t="n">
        <x:f>IF(AND($C12&lt;=F$4+6,$D12&gt;=F$4),1,0)</x:f>
        <x:v>0</x:v>
      </x:c>
      <x:c r="G12" s="66" t="n">
        <x:f>IF(AND($C12&lt;=G$4+6,$D12&gt;=G$4),1,0)</x:f>
        <x:v>1</x:v>
      </x:c>
      <x:c r="H12" s="66" t="n">
        <x:f>IF(AND($C12&lt;=H$4+6,$D12&gt;=H$4),1,0)</x:f>
        <x:v>0</x:v>
      </x:c>
      <x:c r="I12" s="66" t="n">
        <x:f>IF(AND($C12&lt;=I$4+6,$D12&gt;=I$4),1,0)</x:f>
        <x:v>0</x:v>
      </x:c>
      <x:c r="J12" s="66" t="n">
        <x:f>IF(AND($C12&lt;=J$4+6,$D12&gt;=J$4),1,0)</x:f>
        <x:v>0</x:v>
      </x:c>
      <x:c r="K12" s="66" t="n">
        <x:f>IF(AND($C12&lt;=K$4+6,$D12&gt;=K$4),1,0)</x:f>
        <x:v>0</x:v>
      </x:c>
      <x:c r="L12" s="66" t="n">
        <x:f>IF(AND($C12&lt;=L$4+6,$D12&gt;=L$4),1,0)</x:f>
        <x:v>0</x:v>
      </x:c>
      <x:c r="M12" s="66" t="n">
        <x:f>IF(AND($C12&lt;=M$4+6,$D12&gt;=M$4),1,0)</x:f>
        <x:v>0</x:v>
      </x:c>
      <x:c r="N12" s="66" t="n">
        <x:f>IF(AND($C12&lt;=N$4+6,$D12&gt;=N$4),1,0)</x:f>
        <x:v>0</x:v>
      </x:c>
      <x:c r="O12" s="66" t="n">
        <x:f>IF(AND($C12&lt;=O$4+6,$D12&gt;=O$4),1,0)</x:f>
        <x:v>0</x:v>
      </x:c>
      <x:c r="P12" s="66" t="n">
        <x:f>IF(AND($C12&lt;=P$4+6,$D12&gt;=P$4),1,0)</x:f>
        <x:v>0</x:v>
      </x:c>
      <x:c r="Q12" s="66" t="n">
        <x:f>IF(AND($C12&lt;=Q$4+6,$D12&gt;=Q$4),1,0)</x:f>
        <x:v>0</x:v>
      </x:c>
      <x:c r="R12" s="66" t="n">
        <x:f>IF(AND($C12&lt;=R$4+6,$D12&gt;=R$4),1,0)</x:f>
        <x:v>0</x:v>
      </x:c>
      <x:c r="S12" s="66" t="n">
        <x:f>IF(AND($C12&lt;=S$4+6,$D12&gt;=S$4),1,0)</x:f>
        <x:v>0</x:v>
      </x:c>
      <x:c r="T12" s="66" t="n">
        <x:f>IF(AND($C12&lt;=T$4+6,$D12&gt;=T$4),1,0)</x:f>
        <x:v>0</x:v>
      </x:c>
      <x:c r="U12" s="66" t="n">
        <x:f>IF(AND($C12&lt;=U$4+6,$D12&gt;=U$4),1,0)</x:f>
        <x:v>0</x:v>
      </x:c>
      <x:c r="V12" s="66" t="n">
        <x:f>IF(AND($C12&lt;=V$4+6,$D12&gt;=V$4),1,0)</x:f>
        <x:v>0</x:v>
      </x:c>
      <x:c r="W12" s="66" t="n">
        <x:f>IF(AND($C12&lt;=W$4+6,$D12&gt;=W$4),1,0)</x:f>
        <x:v>0</x:v>
      </x:c>
      <x:c r="X12" s="66" t="n">
        <x:f>IF(AND($C12&lt;=X$4+6,$D12&gt;=X$4),1,0)</x:f>
        <x:v>0</x:v>
      </x:c>
      <x:c r="Y12" s="66" t="n">
        <x:f>IF(AND($C12&lt;=Y$4+6,$D12&gt;=Y$4),1,0)</x:f>
        <x:v>0</x:v>
      </x:c>
      <x:c r="Z12" s="66" t="n">
        <x:f>IF(AND($C12&lt;=Z$4+6,$D12&gt;=Z$4),1,0)</x:f>
        <x:v>0</x:v>
      </x:c>
      <x:c r="AA12" s="66" t="n">
        <x:f>IF(AND($C12&lt;=AA$4+6,$D12&gt;=AA$4),1,0)</x:f>
        <x:v>0</x:v>
      </x:c>
      <x:c r="AB12" s="66" t="n">
        <x:f>IF(AND($C12&lt;=AB$4+6,$D12&gt;=AB$4),1,0)</x:f>
        <x:v>0</x:v>
      </x:c>
      <x:c r="AC12" s="66" t="n">
        <x:f>IF(AND($C12&lt;=AC$4+6,$D12&gt;=AC$4),1,0)</x:f>
        <x:v>0</x:v>
      </x:c>
      <x:c r="AD12" s="66" t="n">
        <x:f>IF(AND($C12&lt;=AD$4+6,$D12&gt;=AD$4),1,0)</x:f>
        <x:v>0</x:v>
      </x:c>
      <x:c r="AE12" s="66" t="n">
        <x:f>IF(AND($C12&lt;=AE$4+6,$D12&gt;=AE$4),1,0)</x:f>
        <x:v>0</x:v>
      </x:c>
      <x:c r="AF12" s="66" t="n">
        <x:f>IF(AND($C12&lt;=AF$4+6,$D12&gt;=AF$4),1,0)</x:f>
        <x:v>0</x:v>
      </x:c>
      <x:c r="AG12" s="66" t="n">
        <x:f>IF(AND($C12&lt;=AG$4+6,$D12&gt;=AG$4),1,0)</x:f>
        <x:v>0</x:v>
      </x:c>
      <x:c r="AH12" s="66" t="n">
        <x:f>IF(AND($C12&lt;=AH$4+6,$D12&gt;=AH$4),1,0)</x:f>
        <x:v>0</x:v>
      </x:c>
    </x:row>
    <x:row r="13" ht="38" customHeight="1">
      <x:c r="A13" s="3" t="str">
        <x:v>P1-09</x:v>
      </x:c>
      <x:c r="B13" s="3" t="str">
        <x:v>큰 랜드마크 카드의 사진 갤러리</x:v>
      </x:c>
      <x:c r="C13" s="16" t="n">
        <x:f>'기능별 일정'!H13</x:f>
        <x:v>46297</x:v>
      </x:c>
      <x:c r="D13" s="16" t="n">
        <x:f>'기능별 일정'!I13</x:f>
        <x:v>46302</x:v>
      </x:c>
      <x:c r="E13" s="66" t="n">
        <x:f>IF(AND($C13&lt;=E$4+6,$D13&gt;=E$4),1,0)</x:f>
        <x:v>0</x:v>
      </x:c>
      <x:c r="F13" s="66" t="n">
        <x:f>IF(AND($C13&lt;=F$4+6,$D13&gt;=F$4),1,0)</x:f>
        <x:v>0</x:v>
      </x:c>
      <x:c r="G13" s="66" t="n">
        <x:f>IF(AND($C13&lt;=G$4+6,$D13&gt;=G$4),1,0)</x:f>
        <x:v>1</x:v>
      </x:c>
      <x:c r="H13" s="66" t="n">
        <x:f>IF(AND($C13&lt;=H$4+6,$D13&gt;=H$4),1,0)</x:f>
        <x:v>1</x:v>
      </x:c>
      <x:c r="I13" s="66" t="n">
        <x:f>IF(AND($C13&lt;=I$4+6,$D13&gt;=I$4),1,0)</x:f>
        <x:v>0</x:v>
      </x:c>
      <x:c r="J13" s="66" t="n">
        <x:f>IF(AND($C13&lt;=J$4+6,$D13&gt;=J$4),1,0)</x:f>
        <x:v>0</x:v>
      </x:c>
      <x:c r="K13" s="66" t="n">
        <x:f>IF(AND($C13&lt;=K$4+6,$D13&gt;=K$4),1,0)</x:f>
        <x:v>0</x:v>
      </x:c>
      <x:c r="L13" s="66" t="n">
        <x:f>IF(AND($C13&lt;=L$4+6,$D13&gt;=L$4),1,0)</x:f>
        <x:v>0</x:v>
      </x:c>
      <x:c r="M13" s="66" t="n">
        <x:f>IF(AND($C13&lt;=M$4+6,$D13&gt;=M$4),1,0)</x:f>
        <x:v>0</x:v>
      </x:c>
      <x:c r="N13" s="66" t="n">
        <x:f>IF(AND($C13&lt;=N$4+6,$D13&gt;=N$4),1,0)</x:f>
        <x:v>0</x:v>
      </x:c>
      <x:c r="O13" s="66" t="n">
        <x:f>IF(AND($C13&lt;=O$4+6,$D13&gt;=O$4),1,0)</x:f>
        <x:v>0</x:v>
      </x:c>
      <x:c r="P13" s="66" t="n">
        <x:f>IF(AND($C13&lt;=P$4+6,$D13&gt;=P$4),1,0)</x:f>
        <x:v>0</x:v>
      </x:c>
      <x:c r="Q13" s="66" t="n">
        <x:f>IF(AND($C13&lt;=Q$4+6,$D13&gt;=Q$4),1,0)</x:f>
        <x:v>0</x:v>
      </x:c>
      <x:c r="R13" s="66" t="n">
        <x:f>IF(AND($C13&lt;=R$4+6,$D13&gt;=R$4),1,0)</x:f>
        <x:v>0</x:v>
      </x:c>
      <x:c r="S13" s="66" t="n">
        <x:f>IF(AND($C13&lt;=S$4+6,$D13&gt;=S$4),1,0)</x:f>
        <x:v>0</x:v>
      </x:c>
      <x:c r="T13" s="66" t="n">
        <x:f>IF(AND($C13&lt;=T$4+6,$D13&gt;=T$4),1,0)</x:f>
        <x:v>0</x:v>
      </x:c>
      <x:c r="U13" s="66" t="n">
        <x:f>IF(AND($C13&lt;=U$4+6,$D13&gt;=U$4),1,0)</x:f>
        <x:v>0</x:v>
      </x:c>
      <x:c r="V13" s="66" t="n">
        <x:f>IF(AND($C13&lt;=V$4+6,$D13&gt;=V$4),1,0)</x:f>
        <x:v>0</x:v>
      </x:c>
      <x:c r="W13" s="66" t="n">
        <x:f>IF(AND($C13&lt;=W$4+6,$D13&gt;=W$4),1,0)</x:f>
        <x:v>0</x:v>
      </x:c>
      <x:c r="X13" s="66" t="n">
        <x:f>IF(AND($C13&lt;=X$4+6,$D13&gt;=X$4),1,0)</x:f>
        <x:v>0</x:v>
      </x:c>
      <x:c r="Y13" s="66" t="n">
        <x:f>IF(AND($C13&lt;=Y$4+6,$D13&gt;=Y$4),1,0)</x:f>
        <x:v>0</x:v>
      </x:c>
      <x:c r="Z13" s="66" t="n">
        <x:f>IF(AND($C13&lt;=Z$4+6,$D13&gt;=Z$4),1,0)</x:f>
        <x:v>0</x:v>
      </x:c>
      <x:c r="AA13" s="66" t="n">
        <x:f>IF(AND($C13&lt;=AA$4+6,$D13&gt;=AA$4),1,0)</x:f>
        <x:v>0</x:v>
      </x:c>
      <x:c r="AB13" s="66" t="n">
        <x:f>IF(AND($C13&lt;=AB$4+6,$D13&gt;=AB$4),1,0)</x:f>
        <x:v>0</x:v>
      </x:c>
      <x:c r="AC13" s="66" t="n">
        <x:f>IF(AND($C13&lt;=AC$4+6,$D13&gt;=AC$4),1,0)</x:f>
        <x:v>0</x:v>
      </x:c>
      <x:c r="AD13" s="66" t="n">
        <x:f>IF(AND($C13&lt;=AD$4+6,$D13&gt;=AD$4),1,0)</x:f>
        <x:v>0</x:v>
      </x:c>
      <x:c r="AE13" s="66" t="n">
        <x:f>IF(AND($C13&lt;=AE$4+6,$D13&gt;=AE$4),1,0)</x:f>
        <x:v>0</x:v>
      </x:c>
      <x:c r="AF13" s="66" t="n">
        <x:f>IF(AND($C13&lt;=AF$4+6,$D13&gt;=AF$4),1,0)</x:f>
        <x:v>0</x:v>
      </x:c>
      <x:c r="AG13" s="66" t="n">
        <x:f>IF(AND($C13&lt;=AG$4+6,$D13&gt;=AG$4),1,0)</x:f>
        <x:v>0</x:v>
      </x:c>
      <x:c r="AH13" s="66" t="n">
        <x:f>IF(AND($C13&lt;=AH$4+6,$D13&gt;=AH$4),1,0)</x:f>
        <x:v>0</x:v>
      </x:c>
    </x:row>
    <x:row r="14" ht="38" customHeight="1">
      <x:c r="A14" s="3" t="str">
        <x:v>P1-10</x:v>
      </x:c>
      <x:c r="B14" s="3" t="str">
        <x:v>안내·AI·담기 카드 갤러리 연결</x:v>
      </x:c>
      <x:c r="C14" s="16" t="n">
        <x:f>'기능별 일정'!H14</x:f>
        <x:v>46303</x:v>
      </x:c>
      <x:c r="D14" s="16" t="n">
        <x:f>'기능별 일정'!I14</x:f>
        <x:v>46303</x:v>
      </x:c>
      <x:c r="E14" s="66" t="n">
        <x:f>IF(AND($C14&lt;=E$4+6,$D14&gt;=E$4),1,0)</x:f>
        <x:v>0</x:v>
      </x:c>
      <x:c r="F14" s="66" t="n">
        <x:f>IF(AND($C14&lt;=F$4+6,$D14&gt;=F$4),1,0)</x:f>
        <x:v>0</x:v>
      </x:c>
      <x:c r="G14" s="66" t="n">
        <x:f>IF(AND($C14&lt;=G$4+6,$D14&gt;=G$4),1,0)</x:f>
        <x:v>0</x:v>
      </x:c>
      <x:c r="H14" s="66" t="n">
        <x:f>IF(AND($C14&lt;=H$4+6,$D14&gt;=H$4),1,0)</x:f>
        <x:v>1</x:v>
      </x:c>
      <x:c r="I14" s="66" t="n">
        <x:f>IF(AND($C14&lt;=I$4+6,$D14&gt;=I$4),1,0)</x:f>
        <x:v>0</x:v>
      </x:c>
      <x:c r="J14" s="66" t="n">
        <x:f>IF(AND($C14&lt;=J$4+6,$D14&gt;=J$4),1,0)</x:f>
        <x:v>0</x:v>
      </x:c>
      <x:c r="K14" s="66" t="n">
        <x:f>IF(AND($C14&lt;=K$4+6,$D14&gt;=K$4),1,0)</x:f>
        <x:v>0</x:v>
      </x:c>
      <x:c r="L14" s="66" t="n">
        <x:f>IF(AND($C14&lt;=L$4+6,$D14&gt;=L$4),1,0)</x:f>
        <x:v>0</x:v>
      </x:c>
      <x:c r="M14" s="66" t="n">
        <x:f>IF(AND($C14&lt;=M$4+6,$D14&gt;=M$4),1,0)</x:f>
        <x:v>0</x:v>
      </x:c>
      <x:c r="N14" s="66" t="n">
        <x:f>IF(AND($C14&lt;=N$4+6,$D14&gt;=N$4),1,0)</x:f>
        <x:v>0</x:v>
      </x:c>
      <x:c r="O14" s="66" t="n">
        <x:f>IF(AND($C14&lt;=O$4+6,$D14&gt;=O$4),1,0)</x:f>
        <x:v>0</x:v>
      </x:c>
      <x:c r="P14" s="66" t="n">
        <x:f>IF(AND($C14&lt;=P$4+6,$D14&gt;=P$4),1,0)</x:f>
        <x:v>0</x:v>
      </x:c>
      <x:c r="Q14" s="66" t="n">
        <x:f>IF(AND($C14&lt;=Q$4+6,$D14&gt;=Q$4),1,0)</x:f>
        <x:v>0</x:v>
      </x:c>
      <x:c r="R14" s="66" t="n">
        <x:f>IF(AND($C14&lt;=R$4+6,$D14&gt;=R$4),1,0)</x:f>
        <x:v>0</x:v>
      </x:c>
      <x:c r="S14" s="66" t="n">
        <x:f>IF(AND($C14&lt;=S$4+6,$D14&gt;=S$4),1,0)</x:f>
        <x:v>0</x:v>
      </x:c>
      <x:c r="T14" s="66" t="n">
        <x:f>IF(AND($C14&lt;=T$4+6,$D14&gt;=T$4),1,0)</x:f>
        <x:v>0</x:v>
      </x:c>
      <x:c r="U14" s="66" t="n">
        <x:f>IF(AND($C14&lt;=U$4+6,$D14&gt;=U$4),1,0)</x:f>
        <x:v>0</x:v>
      </x:c>
      <x:c r="V14" s="66" t="n">
        <x:f>IF(AND($C14&lt;=V$4+6,$D14&gt;=V$4),1,0)</x:f>
        <x:v>0</x:v>
      </x:c>
      <x:c r="W14" s="66" t="n">
        <x:f>IF(AND($C14&lt;=W$4+6,$D14&gt;=W$4),1,0)</x:f>
        <x:v>0</x:v>
      </x:c>
      <x:c r="X14" s="66" t="n">
        <x:f>IF(AND($C14&lt;=X$4+6,$D14&gt;=X$4),1,0)</x:f>
        <x:v>0</x:v>
      </x:c>
      <x:c r="Y14" s="66" t="n">
        <x:f>IF(AND($C14&lt;=Y$4+6,$D14&gt;=Y$4),1,0)</x:f>
        <x:v>0</x:v>
      </x:c>
      <x:c r="Z14" s="66" t="n">
        <x:f>IF(AND($C14&lt;=Z$4+6,$D14&gt;=Z$4),1,0)</x:f>
        <x:v>0</x:v>
      </x:c>
      <x:c r="AA14" s="66" t="n">
        <x:f>IF(AND($C14&lt;=AA$4+6,$D14&gt;=AA$4),1,0)</x:f>
        <x:v>0</x:v>
      </x:c>
      <x:c r="AB14" s="66" t="n">
        <x:f>IF(AND($C14&lt;=AB$4+6,$D14&gt;=AB$4),1,0)</x:f>
        <x:v>0</x:v>
      </x:c>
      <x:c r="AC14" s="66" t="n">
        <x:f>IF(AND($C14&lt;=AC$4+6,$D14&gt;=AC$4),1,0)</x:f>
        <x:v>0</x:v>
      </x:c>
      <x:c r="AD14" s="66" t="n">
        <x:f>IF(AND($C14&lt;=AD$4+6,$D14&gt;=AD$4),1,0)</x:f>
        <x:v>0</x:v>
      </x:c>
      <x:c r="AE14" s="66" t="n">
        <x:f>IF(AND($C14&lt;=AE$4+6,$D14&gt;=AE$4),1,0)</x:f>
        <x:v>0</x:v>
      </x:c>
      <x:c r="AF14" s="66" t="n">
        <x:f>IF(AND($C14&lt;=AF$4+6,$D14&gt;=AF$4),1,0)</x:f>
        <x:v>0</x:v>
      </x:c>
      <x:c r="AG14" s="66" t="n">
        <x:f>IF(AND($C14&lt;=AG$4+6,$D14&gt;=AG$4),1,0)</x:f>
        <x:v>0</x:v>
      </x:c>
      <x:c r="AH14" s="66" t="n">
        <x:f>IF(AND($C14&lt;=AH$4+6,$D14&gt;=AH$4),1,0)</x:f>
        <x:v>0</x:v>
      </x:c>
    </x:row>
    <x:row r="15" ht="38" customHeight="1">
      <x:c r="A15" s="3" t="str">
        <x:v>P1-11</x:v>
      </x:c>
      <x:c r="B15" s="3" t="str">
        <x:v>홈 AI 글 입력·사진 초안 승인</x:v>
      </x:c>
      <x:c r="C15" s="16" t="n">
        <x:f>'기능별 일정'!H15</x:f>
        <x:v>46307</x:v>
      </x:c>
      <x:c r="D15" s="16" t="n">
        <x:f>'기능별 일정'!I15</x:f>
        <x:v>46308</x:v>
      </x:c>
      <x:c r="E15" s="66" t="n">
        <x:f>IF(AND($C15&lt;=E$4+6,$D15&gt;=E$4),1,0)</x:f>
        <x:v>0</x:v>
      </x:c>
      <x:c r="F15" s="66" t="n">
        <x:f>IF(AND($C15&lt;=F$4+6,$D15&gt;=F$4),1,0)</x:f>
        <x:v>0</x:v>
      </x:c>
      <x:c r="G15" s="66" t="n">
        <x:f>IF(AND($C15&lt;=G$4+6,$D15&gt;=G$4),1,0)</x:f>
        <x:v>0</x:v>
      </x:c>
      <x:c r="H15" s="66" t="n">
        <x:f>IF(AND($C15&lt;=H$4+6,$D15&gt;=H$4),1,0)</x:f>
        <x:v>0</x:v>
      </x:c>
      <x:c r="I15" s="66" t="n">
        <x:f>IF(AND($C15&lt;=I$4+6,$D15&gt;=I$4),1,0)</x:f>
        <x:v>1</x:v>
      </x:c>
      <x:c r="J15" s="66" t="n">
        <x:f>IF(AND($C15&lt;=J$4+6,$D15&gt;=J$4),1,0)</x:f>
        <x:v>0</x:v>
      </x:c>
      <x:c r="K15" s="66" t="n">
        <x:f>IF(AND($C15&lt;=K$4+6,$D15&gt;=K$4),1,0)</x:f>
        <x:v>0</x:v>
      </x:c>
      <x:c r="L15" s="66" t="n">
        <x:f>IF(AND($C15&lt;=L$4+6,$D15&gt;=L$4),1,0)</x:f>
        <x:v>0</x:v>
      </x:c>
      <x:c r="M15" s="66" t="n">
        <x:f>IF(AND($C15&lt;=M$4+6,$D15&gt;=M$4),1,0)</x:f>
        <x:v>0</x:v>
      </x:c>
      <x:c r="N15" s="66" t="n">
        <x:f>IF(AND($C15&lt;=N$4+6,$D15&gt;=N$4),1,0)</x:f>
        <x:v>0</x:v>
      </x:c>
      <x:c r="O15" s="66" t="n">
        <x:f>IF(AND($C15&lt;=O$4+6,$D15&gt;=O$4),1,0)</x:f>
        <x:v>0</x:v>
      </x:c>
      <x:c r="P15" s="66" t="n">
        <x:f>IF(AND($C15&lt;=P$4+6,$D15&gt;=P$4),1,0)</x:f>
        <x:v>0</x:v>
      </x:c>
      <x:c r="Q15" s="66" t="n">
        <x:f>IF(AND($C15&lt;=Q$4+6,$D15&gt;=Q$4),1,0)</x:f>
        <x:v>0</x:v>
      </x:c>
      <x:c r="R15" s="66" t="n">
        <x:f>IF(AND($C15&lt;=R$4+6,$D15&gt;=R$4),1,0)</x:f>
        <x:v>0</x:v>
      </x:c>
      <x:c r="S15" s="66" t="n">
        <x:f>IF(AND($C15&lt;=S$4+6,$D15&gt;=S$4),1,0)</x:f>
        <x:v>0</x:v>
      </x:c>
      <x:c r="T15" s="66" t="n">
        <x:f>IF(AND($C15&lt;=T$4+6,$D15&gt;=T$4),1,0)</x:f>
        <x:v>0</x:v>
      </x:c>
      <x:c r="U15" s="66" t="n">
        <x:f>IF(AND($C15&lt;=U$4+6,$D15&gt;=U$4),1,0)</x:f>
        <x:v>0</x:v>
      </x:c>
      <x:c r="V15" s="66" t="n">
        <x:f>IF(AND($C15&lt;=V$4+6,$D15&gt;=V$4),1,0)</x:f>
        <x:v>0</x:v>
      </x:c>
      <x:c r="W15" s="66" t="n">
        <x:f>IF(AND($C15&lt;=W$4+6,$D15&gt;=W$4),1,0)</x:f>
        <x:v>0</x:v>
      </x:c>
      <x:c r="X15" s="66" t="n">
        <x:f>IF(AND($C15&lt;=X$4+6,$D15&gt;=X$4),1,0)</x:f>
        <x:v>0</x:v>
      </x:c>
      <x:c r="Y15" s="66" t="n">
        <x:f>IF(AND($C15&lt;=Y$4+6,$D15&gt;=Y$4),1,0)</x:f>
        <x:v>0</x:v>
      </x:c>
      <x:c r="Z15" s="66" t="n">
        <x:f>IF(AND($C15&lt;=Z$4+6,$D15&gt;=Z$4),1,0)</x:f>
        <x:v>0</x:v>
      </x:c>
      <x:c r="AA15" s="66" t="n">
        <x:f>IF(AND($C15&lt;=AA$4+6,$D15&gt;=AA$4),1,0)</x:f>
        <x:v>0</x:v>
      </x:c>
      <x:c r="AB15" s="66" t="n">
        <x:f>IF(AND($C15&lt;=AB$4+6,$D15&gt;=AB$4),1,0)</x:f>
        <x:v>0</x:v>
      </x:c>
      <x:c r="AC15" s="66" t="n">
        <x:f>IF(AND($C15&lt;=AC$4+6,$D15&gt;=AC$4),1,0)</x:f>
        <x:v>0</x:v>
      </x:c>
      <x:c r="AD15" s="66" t="n">
        <x:f>IF(AND($C15&lt;=AD$4+6,$D15&gt;=AD$4),1,0)</x:f>
        <x:v>0</x:v>
      </x:c>
      <x:c r="AE15" s="66" t="n">
        <x:f>IF(AND($C15&lt;=AE$4+6,$D15&gt;=AE$4),1,0)</x:f>
        <x:v>0</x:v>
      </x:c>
      <x:c r="AF15" s="66" t="n">
        <x:f>IF(AND($C15&lt;=AF$4+6,$D15&gt;=AF$4),1,0)</x:f>
        <x:v>0</x:v>
      </x:c>
      <x:c r="AG15" s="66" t="n">
        <x:f>IF(AND($C15&lt;=AG$4+6,$D15&gt;=AG$4),1,0)</x:f>
        <x:v>0</x:v>
      </x:c>
      <x:c r="AH15" s="66" t="n">
        <x:f>IF(AND($C15&lt;=AH$4+6,$D15&gt;=AH$4),1,0)</x:f>
        <x:v>0</x:v>
      </x:c>
    </x:row>
    <x:row r="16" ht="38" customHeight="1">
      <x:c r="A16" s="3" t="str">
        <x:v>P1-12</x:v>
      </x:c>
      <x:c r="B16" s="3" t="str">
        <x:v>권리·좌표·사진 샘플 점검</x:v>
      </x:c>
      <x:c r="C16" s="16" t="n">
        <x:f>'기능별 일정'!H16</x:f>
        <x:v>46309</x:v>
      </x:c>
      <x:c r="D16" s="16" t="n">
        <x:f>'기능별 일정'!I16</x:f>
        <x:v>46311</x:v>
      </x:c>
      <x:c r="E16" s="66" t="n">
        <x:f>IF(AND($C16&lt;=E$4+6,$D16&gt;=E$4),1,0)</x:f>
        <x:v>0</x:v>
      </x:c>
      <x:c r="F16" s="66" t="n">
        <x:f>IF(AND($C16&lt;=F$4+6,$D16&gt;=F$4),1,0)</x:f>
        <x:v>0</x:v>
      </x:c>
      <x:c r="G16" s="66" t="n">
        <x:f>IF(AND($C16&lt;=G$4+6,$D16&gt;=G$4),1,0)</x:f>
        <x:v>0</x:v>
      </x:c>
      <x:c r="H16" s="66" t="n">
        <x:f>IF(AND($C16&lt;=H$4+6,$D16&gt;=H$4),1,0)</x:f>
        <x:v>0</x:v>
      </x:c>
      <x:c r="I16" s="66" t="n">
        <x:f>IF(AND($C16&lt;=I$4+6,$D16&gt;=I$4),1,0)</x:f>
        <x:v>1</x:v>
      </x:c>
      <x:c r="J16" s="66" t="n">
        <x:f>IF(AND($C16&lt;=J$4+6,$D16&gt;=J$4),1,0)</x:f>
        <x:v>0</x:v>
      </x:c>
      <x:c r="K16" s="66" t="n">
        <x:f>IF(AND($C16&lt;=K$4+6,$D16&gt;=K$4),1,0)</x:f>
        <x:v>0</x:v>
      </x:c>
      <x:c r="L16" s="66" t="n">
        <x:f>IF(AND($C16&lt;=L$4+6,$D16&gt;=L$4),1,0)</x:f>
        <x:v>0</x:v>
      </x:c>
      <x:c r="M16" s="66" t="n">
        <x:f>IF(AND($C16&lt;=M$4+6,$D16&gt;=M$4),1,0)</x:f>
        <x:v>0</x:v>
      </x:c>
      <x:c r="N16" s="66" t="n">
        <x:f>IF(AND($C16&lt;=N$4+6,$D16&gt;=N$4),1,0)</x:f>
        <x:v>0</x:v>
      </x:c>
      <x:c r="O16" s="66" t="n">
        <x:f>IF(AND($C16&lt;=O$4+6,$D16&gt;=O$4),1,0)</x:f>
        <x:v>0</x:v>
      </x:c>
      <x:c r="P16" s="66" t="n">
        <x:f>IF(AND($C16&lt;=P$4+6,$D16&gt;=P$4),1,0)</x:f>
        <x:v>0</x:v>
      </x:c>
      <x:c r="Q16" s="66" t="n">
        <x:f>IF(AND($C16&lt;=Q$4+6,$D16&gt;=Q$4),1,0)</x:f>
        <x:v>0</x:v>
      </x:c>
      <x:c r="R16" s="66" t="n">
        <x:f>IF(AND($C16&lt;=R$4+6,$D16&gt;=R$4),1,0)</x:f>
        <x:v>0</x:v>
      </x:c>
      <x:c r="S16" s="66" t="n">
        <x:f>IF(AND($C16&lt;=S$4+6,$D16&gt;=S$4),1,0)</x:f>
        <x:v>0</x:v>
      </x:c>
      <x:c r="T16" s="66" t="n">
        <x:f>IF(AND($C16&lt;=T$4+6,$D16&gt;=T$4),1,0)</x:f>
        <x:v>0</x:v>
      </x:c>
      <x:c r="U16" s="66" t="n">
        <x:f>IF(AND($C16&lt;=U$4+6,$D16&gt;=U$4),1,0)</x:f>
        <x:v>0</x:v>
      </x:c>
      <x:c r="V16" s="66" t="n">
        <x:f>IF(AND($C16&lt;=V$4+6,$D16&gt;=V$4),1,0)</x:f>
        <x:v>0</x:v>
      </x:c>
      <x:c r="W16" s="66" t="n">
        <x:f>IF(AND($C16&lt;=W$4+6,$D16&gt;=W$4),1,0)</x:f>
        <x:v>0</x:v>
      </x:c>
      <x:c r="X16" s="66" t="n">
        <x:f>IF(AND($C16&lt;=X$4+6,$D16&gt;=X$4),1,0)</x:f>
        <x:v>0</x:v>
      </x:c>
      <x:c r="Y16" s="66" t="n">
        <x:f>IF(AND($C16&lt;=Y$4+6,$D16&gt;=Y$4),1,0)</x:f>
        <x:v>0</x:v>
      </x:c>
      <x:c r="Z16" s="66" t="n">
        <x:f>IF(AND($C16&lt;=Z$4+6,$D16&gt;=Z$4),1,0)</x:f>
        <x:v>0</x:v>
      </x:c>
      <x:c r="AA16" s="66" t="n">
        <x:f>IF(AND($C16&lt;=AA$4+6,$D16&gt;=AA$4),1,0)</x:f>
        <x:v>0</x:v>
      </x:c>
      <x:c r="AB16" s="66" t="n">
        <x:f>IF(AND($C16&lt;=AB$4+6,$D16&gt;=AB$4),1,0)</x:f>
        <x:v>0</x:v>
      </x:c>
      <x:c r="AC16" s="66" t="n">
        <x:f>IF(AND($C16&lt;=AC$4+6,$D16&gt;=AC$4),1,0)</x:f>
        <x:v>0</x:v>
      </x:c>
      <x:c r="AD16" s="66" t="n">
        <x:f>IF(AND($C16&lt;=AD$4+6,$D16&gt;=AD$4),1,0)</x:f>
        <x:v>0</x:v>
      </x:c>
      <x:c r="AE16" s="66" t="n">
        <x:f>IF(AND($C16&lt;=AE$4+6,$D16&gt;=AE$4),1,0)</x:f>
        <x:v>0</x:v>
      </x:c>
      <x:c r="AF16" s="66" t="n">
        <x:f>IF(AND($C16&lt;=AF$4+6,$D16&gt;=AF$4),1,0)</x:f>
        <x:v>0</x:v>
      </x:c>
      <x:c r="AG16" s="66" t="n">
        <x:f>IF(AND($C16&lt;=AG$4+6,$D16&gt;=AG$4),1,0)</x:f>
        <x:v>0</x:v>
      </x:c>
      <x:c r="AH16" s="66" t="n">
        <x:f>IF(AND($C16&lt;=AH$4+6,$D16&gt;=AH$4),1,0)</x:f>
        <x:v>0</x:v>
      </x:c>
    </x:row>
    <x:row r="17" ht="38" customHeight="1">
      <x:c r="A17" s="3" t="str">
        <x:v>P1-13</x:v>
      </x:c>
      <x:c r="B17" s="3" t="str">
        <x:v>AI 추천 여행 목록·개인 복사 구분</x:v>
      </x:c>
      <x:c r="C17" s="16" t="n">
        <x:f>'기능별 일정'!H17</x:f>
        <x:v>46314</x:v>
      </x:c>
      <x:c r="D17" s="16" t="n">
        <x:f>'기능별 일정'!I17</x:f>
        <x:v>46314</x:v>
      </x:c>
      <x:c r="E17" s="66" t="n">
        <x:f>IF(AND($C17&lt;=E$4+6,$D17&gt;=E$4),1,0)</x:f>
        <x:v>0</x:v>
      </x:c>
      <x:c r="F17" s="66" t="n">
        <x:f>IF(AND($C17&lt;=F$4+6,$D17&gt;=F$4),1,0)</x:f>
        <x:v>0</x:v>
      </x:c>
      <x:c r="G17" s="66" t="n">
        <x:f>IF(AND($C17&lt;=G$4+6,$D17&gt;=G$4),1,0)</x:f>
        <x:v>0</x:v>
      </x:c>
      <x:c r="H17" s="66" t="n">
        <x:f>IF(AND($C17&lt;=H$4+6,$D17&gt;=H$4),1,0)</x:f>
        <x:v>0</x:v>
      </x:c>
      <x:c r="I17" s="66" t="n">
        <x:f>IF(AND($C17&lt;=I$4+6,$D17&gt;=I$4),1,0)</x:f>
        <x:v>0</x:v>
      </x:c>
      <x:c r="J17" s="66" t="n">
        <x:f>IF(AND($C17&lt;=J$4+6,$D17&gt;=J$4),1,0)</x:f>
        <x:v>1</x:v>
      </x:c>
      <x:c r="K17" s="66" t="n">
        <x:f>IF(AND($C17&lt;=K$4+6,$D17&gt;=K$4),1,0)</x:f>
        <x:v>0</x:v>
      </x:c>
      <x:c r="L17" s="66" t="n">
        <x:f>IF(AND($C17&lt;=L$4+6,$D17&gt;=L$4),1,0)</x:f>
        <x:v>0</x:v>
      </x:c>
      <x:c r="M17" s="66" t="n">
        <x:f>IF(AND($C17&lt;=M$4+6,$D17&gt;=M$4),1,0)</x:f>
        <x:v>0</x:v>
      </x:c>
      <x:c r="N17" s="66" t="n">
        <x:f>IF(AND($C17&lt;=N$4+6,$D17&gt;=N$4),1,0)</x:f>
        <x:v>0</x:v>
      </x:c>
      <x:c r="O17" s="66" t="n">
        <x:f>IF(AND($C17&lt;=O$4+6,$D17&gt;=O$4),1,0)</x:f>
        <x:v>0</x:v>
      </x:c>
      <x:c r="P17" s="66" t="n">
        <x:f>IF(AND($C17&lt;=P$4+6,$D17&gt;=P$4),1,0)</x:f>
        <x:v>0</x:v>
      </x:c>
      <x:c r="Q17" s="66" t="n">
        <x:f>IF(AND($C17&lt;=Q$4+6,$D17&gt;=Q$4),1,0)</x:f>
        <x:v>0</x:v>
      </x:c>
      <x:c r="R17" s="66" t="n">
        <x:f>IF(AND($C17&lt;=R$4+6,$D17&gt;=R$4),1,0)</x:f>
        <x:v>0</x:v>
      </x:c>
      <x:c r="S17" s="66" t="n">
        <x:f>IF(AND($C17&lt;=S$4+6,$D17&gt;=S$4),1,0)</x:f>
        <x:v>0</x:v>
      </x:c>
      <x:c r="T17" s="66" t="n">
        <x:f>IF(AND($C17&lt;=T$4+6,$D17&gt;=T$4),1,0)</x:f>
        <x:v>0</x:v>
      </x:c>
      <x:c r="U17" s="66" t="n">
        <x:f>IF(AND($C17&lt;=U$4+6,$D17&gt;=U$4),1,0)</x:f>
        <x:v>0</x:v>
      </x:c>
      <x:c r="V17" s="66" t="n">
        <x:f>IF(AND($C17&lt;=V$4+6,$D17&gt;=V$4),1,0)</x:f>
        <x:v>0</x:v>
      </x:c>
      <x:c r="W17" s="66" t="n">
        <x:f>IF(AND($C17&lt;=W$4+6,$D17&gt;=W$4),1,0)</x:f>
        <x:v>0</x:v>
      </x:c>
      <x:c r="X17" s="66" t="n">
        <x:f>IF(AND($C17&lt;=X$4+6,$D17&gt;=X$4),1,0)</x:f>
        <x:v>0</x:v>
      </x:c>
      <x:c r="Y17" s="66" t="n">
        <x:f>IF(AND($C17&lt;=Y$4+6,$D17&gt;=Y$4),1,0)</x:f>
        <x:v>0</x:v>
      </x:c>
      <x:c r="Z17" s="66" t="n">
        <x:f>IF(AND($C17&lt;=Z$4+6,$D17&gt;=Z$4),1,0)</x:f>
        <x:v>0</x:v>
      </x:c>
      <x:c r="AA17" s="66" t="n">
        <x:f>IF(AND($C17&lt;=AA$4+6,$D17&gt;=AA$4),1,0)</x:f>
        <x:v>0</x:v>
      </x:c>
      <x:c r="AB17" s="66" t="n">
        <x:f>IF(AND($C17&lt;=AB$4+6,$D17&gt;=AB$4),1,0)</x:f>
        <x:v>0</x:v>
      </x:c>
      <x:c r="AC17" s="66" t="n">
        <x:f>IF(AND($C17&lt;=AC$4+6,$D17&gt;=AC$4),1,0)</x:f>
        <x:v>0</x:v>
      </x:c>
      <x:c r="AD17" s="66" t="n">
        <x:f>IF(AND($C17&lt;=AD$4+6,$D17&gt;=AD$4),1,0)</x:f>
        <x:v>0</x:v>
      </x:c>
      <x:c r="AE17" s="66" t="n">
        <x:f>IF(AND($C17&lt;=AE$4+6,$D17&gt;=AE$4),1,0)</x:f>
        <x:v>0</x:v>
      </x:c>
      <x:c r="AF17" s="66" t="n">
        <x:f>IF(AND($C17&lt;=AF$4+6,$D17&gt;=AF$4),1,0)</x:f>
        <x:v>0</x:v>
      </x:c>
      <x:c r="AG17" s="66" t="n">
        <x:f>IF(AND($C17&lt;=AG$4+6,$D17&gt;=AG$4),1,0)</x:f>
        <x:v>0</x:v>
      </x:c>
      <x:c r="AH17" s="66" t="n">
        <x:f>IF(AND($C17&lt;=AH$4+6,$D17&gt;=AH$4),1,0)</x:f>
        <x:v>0</x:v>
      </x:c>
    </x:row>
    <x:row r="18" ht="38" customHeight="1">
      <x:c r="A18" s="3" t="str">
        <x:v>P1-14</x:v>
      </x:c>
      <x:c r="B18" s="3" t="str">
        <x:v>1차 통합·모바일·Android 검수</x:v>
      </x:c>
      <x:c r="C18" s="16" t="n">
        <x:f>'기능별 일정'!H18</x:f>
        <x:v>46315</x:v>
      </x:c>
      <x:c r="D18" s="16" t="n">
        <x:f>'기능별 일정'!I18</x:f>
        <x:v>46317</x:v>
      </x:c>
      <x:c r="E18" s="66" t="n">
        <x:f>IF(AND($C18&lt;=E$4+6,$D18&gt;=E$4),1,0)</x:f>
        <x:v>0</x:v>
      </x:c>
      <x:c r="F18" s="66" t="n">
        <x:f>IF(AND($C18&lt;=F$4+6,$D18&gt;=F$4),1,0)</x:f>
        <x:v>0</x:v>
      </x:c>
      <x:c r="G18" s="66" t="n">
        <x:f>IF(AND($C18&lt;=G$4+6,$D18&gt;=G$4),1,0)</x:f>
        <x:v>0</x:v>
      </x:c>
      <x:c r="H18" s="66" t="n">
        <x:f>IF(AND($C18&lt;=H$4+6,$D18&gt;=H$4),1,0)</x:f>
        <x:v>0</x:v>
      </x:c>
      <x:c r="I18" s="66" t="n">
        <x:f>IF(AND($C18&lt;=I$4+6,$D18&gt;=I$4),1,0)</x:f>
        <x:v>0</x:v>
      </x:c>
      <x:c r="J18" s="66" t="n">
        <x:f>IF(AND($C18&lt;=J$4+6,$D18&gt;=J$4),1,0)</x:f>
        <x:v>1</x:v>
      </x:c>
      <x:c r="K18" s="66" t="n">
        <x:f>IF(AND($C18&lt;=K$4+6,$D18&gt;=K$4),1,0)</x:f>
        <x:v>0</x:v>
      </x:c>
      <x:c r="L18" s="66" t="n">
        <x:f>IF(AND($C18&lt;=L$4+6,$D18&gt;=L$4),1,0)</x:f>
        <x:v>0</x:v>
      </x:c>
      <x:c r="M18" s="66" t="n">
        <x:f>IF(AND($C18&lt;=M$4+6,$D18&gt;=M$4),1,0)</x:f>
        <x:v>0</x:v>
      </x:c>
      <x:c r="N18" s="66" t="n">
        <x:f>IF(AND($C18&lt;=N$4+6,$D18&gt;=N$4),1,0)</x:f>
        <x:v>0</x:v>
      </x:c>
      <x:c r="O18" s="66" t="n">
        <x:f>IF(AND($C18&lt;=O$4+6,$D18&gt;=O$4),1,0)</x:f>
        <x:v>0</x:v>
      </x:c>
      <x:c r="P18" s="66" t="n">
        <x:f>IF(AND($C18&lt;=P$4+6,$D18&gt;=P$4),1,0)</x:f>
        <x:v>0</x:v>
      </x:c>
      <x:c r="Q18" s="66" t="n">
        <x:f>IF(AND($C18&lt;=Q$4+6,$D18&gt;=Q$4),1,0)</x:f>
        <x:v>0</x:v>
      </x:c>
      <x:c r="R18" s="66" t="n">
        <x:f>IF(AND($C18&lt;=R$4+6,$D18&gt;=R$4),1,0)</x:f>
        <x:v>0</x:v>
      </x:c>
      <x:c r="S18" s="66" t="n">
        <x:f>IF(AND($C18&lt;=S$4+6,$D18&gt;=S$4),1,0)</x:f>
        <x:v>0</x:v>
      </x:c>
      <x:c r="T18" s="66" t="n">
        <x:f>IF(AND($C18&lt;=T$4+6,$D18&gt;=T$4),1,0)</x:f>
        <x:v>0</x:v>
      </x:c>
      <x:c r="U18" s="66" t="n">
        <x:f>IF(AND($C18&lt;=U$4+6,$D18&gt;=U$4),1,0)</x:f>
        <x:v>0</x:v>
      </x:c>
      <x:c r="V18" s="66" t="n">
        <x:f>IF(AND($C18&lt;=V$4+6,$D18&gt;=V$4),1,0)</x:f>
        <x:v>0</x:v>
      </x:c>
      <x:c r="W18" s="66" t="n">
        <x:f>IF(AND($C18&lt;=W$4+6,$D18&gt;=W$4),1,0)</x:f>
        <x:v>0</x:v>
      </x:c>
      <x:c r="X18" s="66" t="n">
        <x:f>IF(AND($C18&lt;=X$4+6,$D18&gt;=X$4),1,0)</x:f>
        <x:v>0</x:v>
      </x:c>
      <x:c r="Y18" s="66" t="n">
        <x:f>IF(AND($C18&lt;=Y$4+6,$D18&gt;=Y$4),1,0)</x:f>
        <x:v>0</x:v>
      </x:c>
      <x:c r="Z18" s="66" t="n">
        <x:f>IF(AND($C18&lt;=Z$4+6,$D18&gt;=Z$4),1,0)</x:f>
        <x:v>0</x:v>
      </x:c>
      <x:c r="AA18" s="66" t="n">
        <x:f>IF(AND($C18&lt;=AA$4+6,$D18&gt;=AA$4),1,0)</x:f>
        <x:v>0</x:v>
      </x:c>
      <x:c r="AB18" s="66" t="n">
        <x:f>IF(AND($C18&lt;=AB$4+6,$D18&gt;=AB$4),1,0)</x:f>
        <x:v>0</x:v>
      </x:c>
      <x:c r="AC18" s="66" t="n">
        <x:f>IF(AND($C18&lt;=AC$4+6,$D18&gt;=AC$4),1,0)</x:f>
        <x:v>0</x:v>
      </x:c>
      <x:c r="AD18" s="66" t="n">
        <x:f>IF(AND($C18&lt;=AD$4+6,$D18&gt;=AD$4),1,0)</x:f>
        <x:v>0</x:v>
      </x:c>
      <x:c r="AE18" s="66" t="n">
        <x:f>IF(AND($C18&lt;=AE$4+6,$D18&gt;=AE$4),1,0)</x:f>
        <x:v>0</x:v>
      </x:c>
      <x:c r="AF18" s="66" t="n">
        <x:f>IF(AND($C18&lt;=AF$4+6,$D18&gt;=AF$4),1,0)</x:f>
        <x:v>0</x:v>
      </x:c>
      <x:c r="AG18" s="66" t="n">
        <x:f>IF(AND($C18&lt;=AG$4+6,$D18&gt;=AG$4),1,0)</x:f>
        <x:v>0</x:v>
      </x:c>
      <x:c r="AH18" s="66" t="n">
        <x:f>IF(AND($C18&lt;=AH$4+6,$D18&gt;=AH$4),1,0)</x:f>
        <x:v>0</x:v>
      </x:c>
    </x:row>
    <x:row r="19" ht="38" customHeight="1">
      <x:c r="A19" s="3" t="str">
        <x:v>P1-15</x:v>
      </x:c>
      <x:c r="B19" s="3" t="str">
        <x:v>1차 수정 여유·완료 인계</x:v>
      </x:c>
      <x:c r="C19" s="16" t="n">
        <x:f>'기능별 일정'!H19</x:f>
        <x:v>46318</x:v>
      </x:c>
      <x:c r="D19" s="16" t="n">
        <x:f>'기능별 일정'!I19</x:f>
        <x:v>46325</x:v>
      </x:c>
      <x:c r="E19" s="66" t="n">
        <x:f>IF(AND($C19&lt;=E$4+6,$D19&gt;=E$4),1,0)</x:f>
        <x:v>0</x:v>
      </x:c>
      <x:c r="F19" s="66" t="n">
        <x:f>IF(AND($C19&lt;=F$4+6,$D19&gt;=F$4),1,0)</x:f>
        <x:v>0</x:v>
      </x:c>
      <x:c r="G19" s="66" t="n">
        <x:f>IF(AND($C19&lt;=G$4+6,$D19&gt;=G$4),1,0)</x:f>
        <x:v>0</x:v>
      </x:c>
      <x:c r="H19" s="66" t="n">
        <x:f>IF(AND($C19&lt;=H$4+6,$D19&gt;=H$4),1,0)</x:f>
        <x:v>0</x:v>
      </x:c>
      <x:c r="I19" s="66" t="n">
        <x:f>IF(AND($C19&lt;=I$4+6,$D19&gt;=I$4),1,0)</x:f>
        <x:v>0</x:v>
      </x:c>
      <x:c r="J19" s="66" t="n">
        <x:f>IF(AND($C19&lt;=J$4+6,$D19&gt;=J$4),1,0)</x:f>
        <x:v>1</x:v>
      </x:c>
      <x:c r="K19" s="66" t="n">
        <x:f>IF(AND($C19&lt;=K$4+6,$D19&gt;=K$4),1,0)</x:f>
        <x:v>1</x:v>
      </x:c>
      <x:c r="L19" s="66" t="n">
        <x:f>IF(AND($C19&lt;=L$4+6,$D19&gt;=L$4),1,0)</x:f>
        <x:v>0</x:v>
      </x:c>
      <x:c r="M19" s="66" t="n">
        <x:f>IF(AND($C19&lt;=M$4+6,$D19&gt;=M$4),1,0)</x:f>
        <x:v>0</x:v>
      </x:c>
      <x:c r="N19" s="66" t="n">
        <x:f>IF(AND($C19&lt;=N$4+6,$D19&gt;=N$4),1,0)</x:f>
        <x:v>0</x:v>
      </x:c>
      <x:c r="O19" s="66" t="n">
        <x:f>IF(AND($C19&lt;=O$4+6,$D19&gt;=O$4),1,0)</x:f>
        <x:v>0</x:v>
      </x:c>
      <x:c r="P19" s="66" t="n">
        <x:f>IF(AND($C19&lt;=P$4+6,$D19&gt;=P$4),1,0)</x:f>
        <x:v>0</x:v>
      </x:c>
      <x:c r="Q19" s="66" t="n">
        <x:f>IF(AND($C19&lt;=Q$4+6,$D19&gt;=Q$4),1,0)</x:f>
        <x:v>0</x:v>
      </x:c>
      <x:c r="R19" s="66" t="n">
        <x:f>IF(AND($C19&lt;=R$4+6,$D19&gt;=R$4),1,0)</x:f>
        <x:v>0</x:v>
      </x:c>
      <x:c r="S19" s="66" t="n">
        <x:f>IF(AND($C19&lt;=S$4+6,$D19&gt;=S$4),1,0)</x:f>
        <x:v>0</x:v>
      </x:c>
      <x:c r="T19" s="66" t="n">
        <x:f>IF(AND($C19&lt;=T$4+6,$D19&gt;=T$4),1,0)</x:f>
        <x:v>0</x:v>
      </x:c>
      <x:c r="U19" s="66" t="n">
        <x:f>IF(AND($C19&lt;=U$4+6,$D19&gt;=U$4),1,0)</x:f>
        <x:v>0</x:v>
      </x:c>
      <x:c r="V19" s="66" t="n">
        <x:f>IF(AND($C19&lt;=V$4+6,$D19&gt;=V$4),1,0)</x:f>
        <x:v>0</x:v>
      </x:c>
      <x:c r="W19" s="66" t="n">
        <x:f>IF(AND($C19&lt;=W$4+6,$D19&gt;=W$4),1,0)</x:f>
        <x:v>0</x:v>
      </x:c>
      <x:c r="X19" s="66" t="n">
        <x:f>IF(AND($C19&lt;=X$4+6,$D19&gt;=X$4),1,0)</x:f>
        <x:v>0</x:v>
      </x:c>
      <x:c r="Y19" s="66" t="n">
        <x:f>IF(AND($C19&lt;=Y$4+6,$D19&gt;=Y$4),1,0)</x:f>
        <x:v>0</x:v>
      </x:c>
      <x:c r="Z19" s="66" t="n">
        <x:f>IF(AND($C19&lt;=Z$4+6,$D19&gt;=Z$4),1,0)</x:f>
        <x:v>0</x:v>
      </x:c>
      <x:c r="AA19" s="66" t="n">
        <x:f>IF(AND($C19&lt;=AA$4+6,$D19&gt;=AA$4),1,0)</x:f>
        <x:v>0</x:v>
      </x:c>
      <x:c r="AB19" s="66" t="n">
        <x:f>IF(AND($C19&lt;=AB$4+6,$D19&gt;=AB$4),1,0)</x:f>
        <x:v>0</x:v>
      </x:c>
      <x:c r="AC19" s="66" t="n">
        <x:f>IF(AND($C19&lt;=AC$4+6,$D19&gt;=AC$4),1,0)</x:f>
        <x:v>0</x:v>
      </x:c>
      <x:c r="AD19" s="66" t="n">
        <x:f>IF(AND($C19&lt;=AD$4+6,$D19&gt;=AD$4),1,0)</x:f>
        <x:v>0</x:v>
      </x:c>
      <x:c r="AE19" s="66" t="n">
        <x:f>IF(AND($C19&lt;=AE$4+6,$D19&gt;=AE$4),1,0)</x:f>
        <x:v>0</x:v>
      </x:c>
      <x:c r="AF19" s="66" t="n">
        <x:f>IF(AND($C19&lt;=AF$4+6,$D19&gt;=AF$4),1,0)</x:f>
        <x:v>0</x:v>
      </x:c>
      <x:c r="AG19" s="66" t="n">
        <x:f>IF(AND($C19&lt;=AG$4+6,$D19&gt;=AG$4),1,0)</x:f>
        <x:v>0</x:v>
      </x:c>
      <x:c r="AH19" s="66" t="n">
        <x:f>IF(AND($C19&lt;=AH$4+6,$D19&gt;=AH$4),1,0)</x:f>
        <x:v>0</x:v>
      </x:c>
    </x:row>
    <x:row r="20" ht="38" customHeight="1">
      <x:c r="A20" s="3" t="str">
        <x:v>P2-01</x:v>
      </x:c>
      <x:c r="B20" s="3" t="str">
        <x:v>작성·방문·카드 관계 확정</x:v>
      </x:c>
      <x:c r="C20" s="16" t="n">
        <x:f>'기능별 일정'!H20</x:f>
        <x:v>46328</x:v>
      </x:c>
      <x:c r="D20" s="16" t="n">
        <x:f>'기능별 일정'!I20</x:f>
        <x:v>46329</x:v>
      </x:c>
      <x:c r="E20" s="66" t="n">
        <x:f>IF(AND($C20&lt;=E$4+6,$D20&gt;=E$4),1,0)</x:f>
        <x:v>0</x:v>
      </x:c>
      <x:c r="F20" s="66" t="n">
        <x:f>IF(AND($C20&lt;=F$4+6,$D20&gt;=F$4),1,0)</x:f>
        <x:v>0</x:v>
      </x:c>
      <x:c r="G20" s="66" t="n">
        <x:f>IF(AND($C20&lt;=G$4+6,$D20&gt;=G$4),1,0)</x:f>
        <x:v>0</x:v>
      </x:c>
      <x:c r="H20" s="66" t="n">
        <x:f>IF(AND($C20&lt;=H$4+6,$D20&gt;=H$4),1,0)</x:f>
        <x:v>0</x:v>
      </x:c>
      <x:c r="I20" s="66" t="n">
        <x:f>IF(AND($C20&lt;=I$4+6,$D20&gt;=I$4),1,0)</x:f>
        <x:v>0</x:v>
      </x:c>
      <x:c r="J20" s="66" t="n">
        <x:f>IF(AND($C20&lt;=J$4+6,$D20&gt;=J$4),1,0)</x:f>
        <x:v>0</x:v>
      </x:c>
      <x:c r="K20" s="66" t="n">
        <x:f>IF(AND($C20&lt;=K$4+6,$D20&gt;=K$4),1,0)</x:f>
        <x:v>0</x:v>
      </x:c>
      <x:c r="L20" s="66" t="n">
        <x:f>IF(AND($C20&lt;=L$4+6,$D20&gt;=L$4),1,0)</x:f>
        <x:v>1</x:v>
      </x:c>
      <x:c r="M20" s="66" t="n">
        <x:f>IF(AND($C20&lt;=M$4+6,$D20&gt;=M$4),1,0)</x:f>
        <x:v>0</x:v>
      </x:c>
      <x:c r="N20" s="66" t="n">
        <x:f>IF(AND($C20&lt;=N$4+6,$D20&gt;=N$4),1,0)</x:f>
        <x:v>0</x:v>
      </x:c>
      <x:c r="O20" s="66" t="n">
        <x:f>IF(AND($C20&lt;=O$4+6,$D20&gt;=O$4),1,0)</x:f>
        <x:v>0</x:v>
      </x:c>
      <x:c r="P20" s="66" t="n">
        <x:f>IF(AND($C20&lt;=P$4+6,$D20&gt;=P$4),1,0)</x:f>
        <x:v>0</x:v>
      </x:c>
      <x:c r="Q20" s="66" t="n">
        <x:f>IF(AND($C20&lt;=Q$4+6,$D20&gt;=Q$4),1,0)</x:f>
        <x:v>0</x:v>
      </x:c>
      <x:c r="R20" s="66" t="n">
        <x:f>IF(AND($C20&lt;=R$4+6,$D20&gt;=R$4),1,0)</x:f>
        <x:v>0</x:v>
      </x:c>
      <x:c r="S20" s="66" t="n">
        <x:f>IF(AND($C20&lt;=S$4+6,$D20&gt;=S$4),1,0)</x:f>
        <x:v>0</x:v>
      </x:c>
      <x:c r="T20" s="66" t="n">
        <x:f>IF(AND($C20&lt;=T$4+6,$D20&gt;=T$4),1,0)</x:f>
        <x:v>0</x:v>
      </x:c>
      <x:c r="U20" s="66" t="n">
        <x:f>IF(AND($C20&lt;=U$4+6,$D20&gt;=U$4),1,0)</x:f>
        <x:v>0</x:v>
      </x:c>
      <x:c r="V20" s="66" t="n">
        <x:f>IF(AND($C20&lt;=V$4+6,$D20&gt;=V$4),1,0)</x:f>
        <x:v>0</x:v>
      </x:c>
      <x:c r="W20" s="66" t="n">
        <x:f>IF(AND($C20&lt;=W$4+6,$D20&gt;=W$4),1,0)</x:f>
        <x:v>0</x:v>
      </x:c>
      <x:c r="X20" s="66" t="n">
        <x:f>IF(AND($C20&lt;=X$4+6,$D20&gt;=X$4),1,0)</x:f>
        <x:v>0</x:v>
      </x:c>
      <x:c r="Y20" s="66" t="n">
        <x:f>IF(AND($C20&lt;=Y$4+6,$D20&gt;=Y$4),1,0)</x:f>
        <x:v>0</x:v>
      </x:c>
      <x:c r="Z20" s="66" t="n">
        <x:f>IF(AND($C20&lt;=Z$4+6,$D20&gt;=Z$4),1,0)</x:f>
        <x:v>0</x:v>
      </x:c>
      <x:c r="AA20" s="66" t="n">
        <x:f>IF(AND($C20&lt;=AA$4+6,$D20&gt;=AA$4),1,0)</x:f>
        <x:v>0</x:v>
      </x:c>
      <x:c r="AB20" s="66" t="n">
        <x:f>IF(AND($C20&lt;=AB$4+6,$D20&gt;=AB$4),1,0)</x:f>
        <x:v>0</x:v>
      </x:c>
      <x:c r="AC20" s="66" t="n">
        <x:f>IF(AND($C20&lt;=AC$4+6,$D20&gt;=AC$4),1,0)</x:f>
        <x:v>0</x:v>
      </x:c>
      <x:c r="AD20" s="66" t="n">
        <x:f>IF(AND($C20&lt;=AD$4+6,$D20&gt;=AD$4),1,0)</x:f>
        <x:v>0</x:v>
      </x:c>
      <x:c r="AE20" s="66" t="n">
        <x:f>IF(AND($C20&lt;=AE$4+6,$D20&gt;=AE$4),1,0)</x:f>
        <x:v>0</x:v>
      </x:c>
      <x:c r="AF20" s="66" t="n">
        <x:f>IF(AND($C20&lt;=AF$4+6,$D20&gt;=AF$4),1,0)</x:f>
        <x:v>0</x:v>
      </x:c>
      <x:c r="AG20" s="66" t="n">
        <x:f>IF(AND($C20&lt;=AG$4+6,$D20&gt;=AG$4),1,0)</x:f>
        <x:v>0</x:v>
      </x:c>
      <x:c r="AH20" s="66" t="n">
        <x:f>IF(AND($C20&lt;=AH$4+6,$D20&gt;=AH$4),1,0)</x:f>
        <x:v>0</x:v>
      </x:c>
    </x:row>
    <x:row r="21" ht="38" customHeight="1">
      <x:c r="A21" s="3" t="str">
        <x:v>P2-02</x:v>
      </x:c>
      <x:c r="B21" s="3" t="str">
        <x:v>자동 임시 저장·복구</x:v>
      </x:c>
      <x:c r="C21" s="16" t="n">
        <x:f>'기능별 일정'!H21</x:f>
        <x:v>46330</x:v>
      </x:c>
      <x:c r="D21" s="16" t="n">
        <x:f>'기능별 일정'!I21</x:f>
        <x:v>46332</x:v>
      </x:c>
      <x:c r="E21" s="66" t="n">
        <x:f>IF(AND($C21&lt;=E$4+6,$D21&gt;=E$4),1,0)</x:f>
        <x:v>0</x:v>
      </x:c>
      <x:c r="F21" s="66" t="n">
        <x:f>IF(AND($C21&lt;=F$4+6,$D21&gt;=F$4),1,0)</x:f>
        <x:v>0</x:v>
      </x:c>
      <x:c r="G21" s="66" t="n">
        <x:f>IF(AND($C21&lt;=G$4+6,$D21&gt;=G$4),1,0)</x:f>
        <x:v>0</x:v>
      </x:c>
      <x:c r="H21" s="66" t="n">
        <x:f>IF(AND($C21&lt;=H$4+6,$D21&gt;=H$4),1,0)</x:f>
        <x:v>0</x:v>
      </x:c>
      <x:c r="I21" s="66" t="n">
        <x:f>IF(AND($C21&lt;=I$4+6,$D21&gt;=I$4),1,0)</x:f>
        <x:v>0</x:v>
      </x:c>
      <x:c r="J21" s="66" t="n">
        <x:f>IF(AND($C21&lt;=J$4+6,$D21&gt;=J$4),1,0)</x:f>
        <x:v>0</x:v>
      </x:c>
      <x:c r="K21" s="66" t="n">
        <x:f>IF(AND($C21&lt;=K$4+6,$D21&gt;=K$4),1,0)</x:f>
        <x:v>0</x:v>
      </x:c>
      <x:c r="L21" s="66" t="n">
        <x:f>IF(AND($C21&lt;=L$4+6,$D21&gt;=L$4),1,0)</x:f>
        <x:v>1</x:v>
      </x:c>
      <x:c r="M21" s="66" t="n">
        <x:f>IF(AND($C21&lt;=M$4+6,$D21&gt;=M$4),1,0)</x:f>
        <x:v>0</x:v>
      </x:c>
      <x:c r="N21" s="66" t="n">
        <x:f>IF(AND($C21&lt;=N$4+6,$D21&gt;=N$4),1,0)</x:f>
        <x:v>0</x:v>
      </x:c>
      <x:c r="O21" s="66" t="n">
        <x:f>IF(AND($C21&lt;=O$4+6,$D21&gt;=O$4),1,0)</x:f>
        <x:v>0</x:v>
      </x:c>
      <x:c r="P21" s="66" t="n">
        <x:f>IF(AND($C21&lt;=P$4+6,$D21&gt;=P$4),1,0)</x:f>
        <x:v>0</x:v>
      </x:c>
      <x:c r="Q21" s="66" t="n">
        <x:f>IF(AND($C21&lt;=Q$4+6,$D21&gt;=Q$4),1,0)</x:f>
        <x:v>0</x:v>
      </x:c>
      <x:c r="R21" s="66" t="n">
        <x:f>IF(AND($C21&lt;=R$4+6,$D21&gt;=R$4),1,0)</x:f>
        <x:v>0</x:v>
      </x:c>
      <x:c r="S21" s="66" t="n">
        <x:f>IF(AND($C21&lt;=S$4+6,$D21&gt;=S$4),1,0)</x:f>
        <x:v>0</x:v>
      </x:c>
      <x:c r="T21" s="66" t="n">
        <x:f>IF(AND($C21&lt;=T$4+6,$D21&gt;=T$4),1,0)</x:f>
        <x:v>0</x:v>
      </x:c>
      <x:c r="U21" s="66" t="n">
        <x:f>IF(AND($C21&lt;=U$4+6,$D21&gt;=U$4),1,0)</x:f>
        <x:v>0</x:v>
      </x:c>
      <x:c r="V21" s="66" t="n">
        <x:f>IF(AND($C21&lt;=V$4+6,$D21&gt;=V$4),1,0)</x:f>
        <x:v>0</x:v>
      </x:c>
      <x:c r="W21" s="66" t="n">
        <x:f>IF(AND($C21&lt;=W$4+6,$D21&gt;=W$4),1,0)</x:f>
        <x:v>0</x:v>
      </x:c>
      <x:c r="X21" s="66" t="n">
        <x:f>IF(AND($C21&lt;=X$4+6,$D21&gt;=X$4),1,0)</x:f>
        <x:v>0</x:v>
      </x:c>
      <x:c r="Y21" s="66" t="n">
        <x:f>IF(AND($C21&lt;=Y$4+6,$D21&gt;=Y$4),1,0)</x:f>
        <x:v>0</x:v>
      </x:c>
      <x:c r="Z21" s="66" t="n">
        <x:f>IF(AND($C21&lt;=Z$4+6,$D21&gt;=Z$4),1,0)</x:f>
        <x:v>0</x:v>
      </x:c>
      <x:c r="AA21" s="66" t="n">
        <x:f>IF(AND($C21&lt;=AA$4+6,$D21&gt;=AA$4),1,0)</x:f>
        <x:v>0</x:v>
      </x:c>
      <x:c r="AB21" s="66" t="n">
        <x:f>IF(AND($C21&lt;=AB$4+6,$D21&gt;=AB$4),1,0)</x:f>
        <x:v>0</x:v>
      </x:c>
      <x:c r="AC21" s="66" t="n">
        <x:f>IF(AND($C21&lt;=AC$4+6,$D21&gt;=AC$4),1,0)</x:f>
        <x:v>0</x:v>
      </x:c>
      <x:c r="AD21" s="66" t="n">
        <x:f>IF(AND($C21&lt;=AD$4+6,$D21&gt;=AD$4),1,0)</x:f>
        <x:v>0</x:v>
      </x:c>
      <x:c r="AE21" s="66" t="n">
        <x:f>IF(AND($C21&lt;=AE$4+6,$D21&gt;=AE$4),1,0)</x:f>
        <x:v>0</x:v>
      </x:c>
      <x:c r="AF21" s="66" t="n">
        <x:f>IF(AND($C21&lt;=AF$4+6,$D21&gt;=AF$4),1,0)</x:f>
        <x:v>0</x:v>
      </x:c>
      <x:c r="AG21" s="66" t="n">
        <x:f>IF(AND($C21&lt;=AG$4+6,$D21&gt;=AG$4),1,0)</x:f>
        <x:v>0</x:v>
      </x:c>
      <x:c r="AH21" s="66" t="n">
        <x:f>IF(AND($C21&lt;=AH$4+6,$D21&gt;=AH$4),1,0)</x:f>
        <x:v>0</x:v>
      </x:c>
    </x:row>
    <x:row r="22" ht="38" customHeight="1">
      <x:c r="A22" s="3" t="str">
        <x:v>P2-03</x:v>
      </x:c>
      <x:c r="B22" s="3" t="str">
        <x:v>사진 여러 장·순서·설명·대표 사진</x:v>
      </x:c>
      <x:c r="C22" s="16" t="n">
        <x:f>'기능별 일정'!H22</x:f>
        <x:v>46335</x:v>
      </x:c>
      <x:c r="D22" s="16" t="n">
        <x:f>'기능별 일정'!I22</x:f>
        <x:v>46336</x:v>
      </x:c>
      <x:c r="E22" s="66" t="n">
        <x:f>IF(AND($C22&lt;=E$4+6,$D22&gt;=E$4),1,0)</x:f>
        <x:v>0</x:v>
      </x:c>
      <x:c r="F22" s="66" t="n">
        <x:f>IF(AND($C22&lt;=F$4+6,$D22&gt;=F$4),1,0)</x:f>
        <x:v>0</x:v>
      </x:c>
      <x:c r="G22" s="66" t="n">
        <x:f>IF(AND($C22&lt;=G$4+6,$D22&gt;=G$4),1,0)</x:f>
        <x:v>0</x:v>
      </x:c>
      <x:c r="H22" s="66" t="n">
        <x:f>IF(AND($C22&lt;=H$4+6,$D22&gt;=H$4),1,0)</x:f>
        <x:v>0</x:v>
      </x:c>
      <x:c r="I22" s="66" t="n">
        <x:f>IF(AND($C22&lt;=I$4+6,$D22&gt;=I$4),1,0)</x:f>
        <x:v>0</x:v>
      </x:c>
      <x:c r="J22" s="66" t="n">
        <x:f>IF(AND($C22&lt;=J$4+6,$D22&gt;=J$4),1,0)</x:f>
        <x:v>0</x:v>
      </x:c>
      <x:c r="K22" s="66" t="n">
        <x:f>IF(AND($C22&lt;=K$4+6,$D22&gt;=K$4),1,0)</x:f>
        <x:v>0</x:v>
      </x:c>
      <x:c r="L22" s="66" t="n">
        <x:f>IF(AND($C22&lt;=L$4+6,$D22&gt;=L$4),1,0)</x:f>
        <x:v>0</x:v>
      </x:c>
      <x:c r="M22" s="66" t="n">
        <x:f>IF(AND($C22&lt;=M$4+6,$D22&gt;=M$4),1,0)</x:f>
        <x:v>1</x:v>
      </x:c>
      <x:c r="N22" s="66" t="n">
        <x:f>IF(AND($C22&lt;=N$4+6,$D22&gt;=N$4),1,0)</x:f>
        <x:v>0</x:v>
      </x:c>
      <x:c r="O22" s="66" t="n">
        <x:f>IF(AND($C22&lt;=O$4+6,$D22&gt;=O$4),1,0)</x:f>
        <x:v>0</x:v>
      </x:c>
      <x:c r="P22" s="66" t="n">
        <x:f>IF(AND($C22&lt;=P$4+6,$D22&gt;=P$4),1,0)</x:f>
        <x:v>0</x:v>
      </x:c>
      <x:c r="Q22" s="66" t="n">
        <x:f>IF(AND($C22&lt;=Q$4+6,$D22&gt;=Q$4),1,0)</x:f>
        <x:v>0</x:v>
      </x:c>
      <x:c r="R22" s="66" t="n">
        <x:f>IF(AND($C22&lt;=R$4+6,$D22&gt;=R$4),1,0)</x:f>
        <x:v>0</x:v>
      </x:c>
      <x:c r="S22" s="66" t="n">
        <x:f>IF(AND($C22&lt;=S$4+6,$D22&gt;=S$4),1,0)</x:f>
        <x:v>0</x:v>
      </x:c>
      <x:c r="T22" s="66" t="n">
        <x:f>IF(AND($C22&lt;=T$4+6,$D22&gt;=T$4),1,0)</x:f>
        <x:v>0</x:v>
      </x:c>
      <x:c r="U22" s="66" t="n">
        <x:f>IF(AND($C22&lt;=U$4+6,$D22&gt;=U$4),1,0)</x:f>
        <x:v>0</x:v>
      </x:c>
      <x:c r="V22" s="66" t="n">
        <x:f>IF(AND($C22&lt;=V$4+6,$D22&gt;=V$4),1,0)</x:f>
        <x:v>0</x:v>
      </x:c>
      <x:c r="W22" s="66" t="n">
        <x:f>IF(AND($C22&lt;=W$4+6,$D22&gt;=W$4),1,0)</x:f>
        <x:v>0</x:v>
      </x:c>
      <x:c r="X22" s="66" t="n">
        <x:f>IF(AND($C22&lt;=X$4+6,$D22&gt;=X$4),1,0)</x:f>
        <x:v>0</x:v>
      </x:c>
      <x:c r="Y22" s="66" t="n">
        <x:f>IF(AND($C22&lt;=Y$4+6,$D22&gt;=Y$4),1,0)</x:f>
        <x:v>0</x:v>
      </x:c>
      <x:c r="Z22" s="66" t="n">
        <x:f>IF(AND($C22&lt;=Z$4+6,$D22&gt;=Z$4),1,0)</x:f>
        <x:v>0</x:v>
      </x:c>
      <x:c r="AA22" s="66" t="n">
        <x:f>IF(AND($C22&lt;=AA$4+6,$D22&gt;=AA$4),1,0)</x:f>
        <x:v>0</x:v>
      </x:c>
      <x:c r="AB22" s="66" t="n">
        <x:f>IF(AND($C22&lt;=AB$4+6,$D22&gt;=AB$4),1,0)</x:f>
        <x:v>0</x:v>
      </x:c>
      <x:c r="AC22" s="66" t="n">
        <x:f>IF(AND($C22&lt;=AC$4+6,$D22&gt;=AC$4),1,0)</x:f>
        <x:v>0</x:v>
      </x:c>
      <x:c r="AD22" s="66" t="n">
        <x:f>IF(AND($C22&lt;=AD$4+6,$D22&gt;=AD$4),1,0)</x:f>
        <x:v>0</x:v>
      </x:c>
      <x:c r="AE22" s="66" t="n">
        <x:f>IF(AND($C22&lt;=AE$4+6,$D22&gt;=AE$4),1,0)</x:f>
        <x:v>0</x:v>
      </x:c>
      <x:c r="AF22" s="66" t="n">
        <x:f>IF(AND($C22&lt;=AF$4+6,$D22&gt;=AF$4),1,0)</x:f>
        <x:v>0</x:v>
      </x:c>
      <x:c r="AG22" s="66" t="n">
        <x:f>IF(AND($C22&lt;=AG$4+6,$D22&gt;=AG$4),1,0)</x:f>
        <x:v>0</x:v>
      </x:c>
      <x:c r="AH22" s="66" t="n">
        <x:f>IF(AND($C22&lt;=AH$4+6,$D22&gt;=AH$4),1,0)</x:f>
        <x:v>0</x:v>
      </x:c>
    </x:row>
    <x:row r="23" ht="38" customHeight="1">
      <x:c r="A23" s="3" t="str">
        <x:v>P2-04</x:v>
      </x:c>
      <x:c r="B23" s="3" t="str">
        <x:v>글·사진·업체·랜드마크 블록 편집</x:v>
      </x:c>
      <x:c r="C23" s="16" t="n">
        <x:f>'기능별 일정'!H23</x:f>
        <x:v>46337</x:v>
      </x:c>
      <x:c r="D23" s="16" t="n">
        <x:f>'기능별 일정'!I23</x:f>
        <x:v>46338</x:v>
      </x:c>
      <x:c r="E23" s="66" t="n">
        <x:f>IF(AND($C23&lt;=E$4+6,$D23&gt;=E$4),1,0)</x:f>
        <x:v>0</x:v>
      </x:c>
      <x:c r="F23" s="66" t="n">
        <x:f>IF(AND($C23&lt;=F$4+6,$D23&gt;=F$4),1,0)</x:f>
        <x:v>0</x:v>
      </x:c>
      <x:c r="G23" s="66" t="n">
        <x:f>IF(AND($C23&lt;=G$4+6,$D23&gt;=G$4),1,0)</x:f>
        <x:v>0</x:v>
      </x:c>
      <x:c r="H23" s="66" t="n">
        <x:f>IF(AND($C23&lt;=H$4+6,$D23&gt;=H$4),1,0)</x:f>
        <x:v>0</x:v>
      </x:c>
      <x:c r="I23" s="66" t="n">
        <x:f>IF(AND($C23&lt;=I$4+6,$D23&gt;=I$4),1,0)</x:f>
        <x:v>0</x:v>
      </x:c>
      <x:c r="J23" s="66" t="n">
        <x:f>IF(AND($C23&lt;=J$4+6,$D23&gt;=J$4),1,0)</x:f>
        <x:v>0</x:v>
      </x:c>
      <x:c r="K23" s="66" t="n">
        <x:f>IF(AND($C23&lt;=K$4+6,$D23&gt;=K$4),1,0)</x:f>
        <x:v>0</x:v>
      </x:c>
      <x:c r="L23" s="66" t="n">
        <x:f>IF(AND($C23&lt;=L$4+6,$D23&gt;=L$4),1,0)</x:f>
        <x:v>0</x:v>
      </x:c>
      <x:c r="M23" s="66" t="n">
        <x:f>IF(AND($C23&lt;=M$4+6,$D23&gt;=M$4),1,0)</x:f>
        <x:v>1</x:v>
      </x:c>
      <x:c r="N23" s="66" t="n">
        <x:f>IF(AND($C23&lt;=N$4+6,$D23&gt;=N$4),1,0)</x:f>
        <x:v>0</x:v>
      </x:c>
      <x:c r="O23" s="66" t="n">
        <x:f>IF(AND($C23&lt;=O$4+6,$D23&gt;=O$4),1,0)</x:f>
        <x:v>0</x:v>
      </x:c>
      <x:c r="P23" s="66" t="n">
        <x:f>IF(AND($C23&lt;=P$4+6,$D23&gt;=P$4),1,0)</x:f>
        <x:v>0</x:v>
      </x:c>
      <x:c r="Q23" s="66" t="n">
        <x:f>IF(AND($C23&lt;=Q$4+6,$D23&gt;=Q$4),1,0)</x:f>
        <x:v>0</x:v>
      </x:c>
      <x:c r="R23" s="66" t="n">
        <x:f>IF(AND($C23&lt;=R$4+6,$D23&gt;=R$4),1,0)</x:f>
        <x:v>0</x:v>
      </x:c>
      <x:c r="S23" s="66" t="n">
        <x:f>IF(AND($C23&lt;=S$4+6,$D23&gt;=S$4),1,0)</x:f>
        <x:v>0</x:v>
      </x:c>
      <x:c r="T23" s="66" t="n">
        <x:f>IF(AND($C23&lt;=T$4+6,$D23&gt;=T$4),1,0)</x:f>
        <x:v>0</x:v>
      </x:c>
      <x:c r="U23" s="66" t="n">
        <x:f>IF(AND($C23&lt;=U$4+6,$D23&gt;=U$4),1,0)</x:f>
        <x:v>0</x:v>
      </x:c>
      <x:c r="V23" s="66" t="n">
        <x:f>IF(AND($C23&lt;=V$4+6,$D23&gt;=V$4),1,0)</x:f>
        <x:v>0</x:v>
      </x:c>
      <x:c r="W23" s="66" t="n">
        <x:f>IF(AND($C23&lt;=W$4+6,$D23&gt;=W$4),1,0)</x:f>
        <x:v>0</x:v>
      </x:c>
      <x:c r="X23" s="66" t="n">
        <x:f>IF(AND($C23&lt;=X$4+6,$D23&gt;=X$4),1,0)</x:f>
        <x:v>0</x:v>
      </x:c>
      <x:c r="Y23" s="66" t="n">
        <x:f>IF(AND($C23&lt;=Y$4+6,$D23&gt;=Y$4),1,0)</x:f>
        <x:v>0</x:v>
      </x:c>
      <x:c r="Z23" s="66" t="n">
        <x:f>IF(AND($C23&lt;=Z$4+6,$D23&gt;=Z$4),1,0)</x:f>
        <x:v>0</x:v>
      </x:c>
      <x:c r="AA23" s="66" t="n">
        <x:f>IF(AND($C23&lt;=AA$4+6,$D23&gt;=AA$4),1,0)</x:f>
        <x:v>0</x:v>
      </x:c>
      <x:c r="AB23" s="66" t="n">
        <x:f>IF(AND($C23&lt;=AB$4+6,$D23&gt;=AB$4),1,0)</x:f>
        <x:v>0</x:v>
      </x:c>
      <x:c r="AC23" s="66" t="n">
        <x:f>IF(AND($C23&lt;=AC$4+6,$D23&gt;=AC$4),1,0)</x:f>
        <x:v>0</x:v>
      </x:c>
      <x:c r="AD23" s="66" t="n">
        <x:f>IF(AND($C23&lt;=AD$4+6,$D23&gt;=AD$4),1,0)</x:f>
        <x:v>0</x:v>
      </x:c>
      <x:c r="AE23" s="66" t="n">
        <x:f>IF(AND($C23&lt;=AE$4+6,$D23&gt;=AE$4),1,0)</x:f>
        <x:v>0</x:v>
      </x:c>
      <x:c r="AF23" s="66" t="n">
        <x:f>IF(AND($C23&lt;=AF$4+6,$D23&gt;=AF$4),1,0)</x:f>
        <x:v>0</x:v>
      </x:c>
      <x:c r="AG23" s="66" t="n">
        <x:f>IF(AND($C23&lt;=AG$4+6,$D23&gt;=AG$4),1,0)</x:f>
        <x:v>0</x:v>
      </x:c>
      <x:c r="AH23" s="66" t="n">
        <x:f>IF(AND($C23&lt;=AH$4+6,$D23&gt;=AH$4),1,0)</x:f>
        <x:v>0</x:v>
      </x:c>
    </x:row>
    <x:row r="24" ht="38" customHeight="1">
      <x:c r="A24" s="3" t="str">
        <x:v>P2-05</x:v>
      </x:c>
      <x:c r="B24" s="3" t="str">
        <x:v>DAY 간 이동·연결 항목 보존</x:v>
      </x:c>
      <x:c r="C24" s="16" t="n">
        <x:f>'기능별 일정'!H24</x:f>
        <x:v>46339</x:v>
      </x:c>
      <x:c r="D24" s="16" t="n">
        <x:f>'기능별 일정'!I24</x:f>
        <x:v>46342</x:v>
      </x:c>
      <x:c r="E24" s="66" t="n">
        <x:f>IF(AND($C24&lt;=E$4+6,$D24&gt;=E$4),1,0)</x:f>
        <x:v>0</x:v>
      </x:c>
      <x:c r="F24" s="66" t="n">
        <x:f>IF(AND($C24&lt;=F$4+6,$D24&gt;=F$4),1,0)</x:f>
        <x:v>0</x:v>
      </x:c>
      <x:c r="G24" s="66" t="n">
        <x:f>IF(AND($C24&lt;=G$4+6,$D24&gt;=G$4),1,0)</x:f>
        <x:v>0</x:v>
      </x:c>
      <x:c r="H24" s="66" t="n">
        <x:f>IF(AND($C24&lt;=H$4+6,$D24&gt;=H$4),1,0)</x:f>
        <x:v>0</x:v>
      </x:c>
      <x:c r="I24" s="66" t="n">
        <x:f>IF(AND($C24&lt;=I$4+6,$D24&gt;=I$4),1,0)</x:f>
        <x:v>0</x:v>
      </x:c>
      <x:c r="J24" s="66" t="n">
        <x:f>IF(AND($C24&lt;=J$4+6,$D24&gt;=J$4),1,0)</x:f>
        <x:v>0</x:v>
      </x:c>
      <x:c r="K24" s="66" t="n">
        <x:f>IF(AND($C24&lt;=K$4+6,$D24&gt;=K$4),1,0)</x:f>
        <x:v>0</x:v>
      </x:c>
      <x:c r="L24" s="66" t="n">
        <x:f>IF(AND($C24&lt;=L$4+6,$D24&gt;=L$4),1,0)</x:f>
        <x:v>0</x:v>
      </x:c>
      <x:c r="M24" s="66" t="n">
        <x:f>IF(AND($C24&lt;=M$4+6,$D24&gt;=M$4),1,0)</x:f>
        <x:v>1</x:v>
      </x:c>
      <x:c r="N24" s="66" t="n">
        <x:f>IF(AND($C24&lt;=N$4+6,$D24&gt;=N$4),1,0)</x:f>
        <x:v>1</x:v>
      </x:c>
      <x:c r="O24" s="66" t="n">
        <x:f>IF(AND($C24&lt;=O$4+6,$D24&gt;=O$4),1,0)</x:f>
        <x:v>0</x:v>
      </x:c>
      <x:c r="P24" s="66" t="n">
        <x:f>IF(AND($C24&lt;=P$4+6,$D24&gt;=P$4),1,0)</x:f>
        <x:v>0</x:v>
      </x:c>
      <x:c r="Q24" s="66" t="n">
        <x:f>IF(AND($C24&lt;=Q$4+6,$D24&gt;=Q$4),1,0)</x:f>
        <x:v>0</x:v>
      </x:c>
      <x:c r="R24" s="66" t="n">
        <x:f>IF(AND($C24&lt;=R$4+6,$D24&gt;=R$4),1,0)</x:f>
        <x:v>0</x:v>
      </x:c>
      <x:c r="S24" s="66" t="n">
        <x:f>IF(AND($C24&lt;=S$4+6,$D24&gt;=S$4),1,0)</x:f>
        <x:v>0</x:v>
      </x:c>
      <x:c r="T24" s="66" t="n">
        <x:f>IF(AND($C24&lt;=T$4+6,$D24&gt;=T$4),1,0)</x:f>
        <x:v>0</x:v>
      </x:c>
      <x:c r="U24" s="66" t="n">
        <x:f>IF(AND($C24&lt;=U$4+6,$D24&gt;=U$4),1,0)</x:f>
        <x:v>0</x:v>
      </x:c>
      <x:c r="V24" s="66" t="n">
        <x:f>IF(AND($C24&lt;=V$4+6,$D24&gt;=V$4),1,0)</x:f>
        <x:v>0</x:v>
      </x:c>
      <x:c r="W24" s="66" t="n">
        <x:f>IF(AND($C24&lt;=W$4+6,$D24&gt;=W$4),1,0)</x:f>
        <x:v>0</x:v>
      </x:c>
      <x:c r="X24" s="66" t="n">
        <x:f>IF(AND($C24&lt;=X$4+6,$D24&gt;=X$4),1,0)</x:f>
        <x:v>0</x:v>
      </x:c>
      <x:c r="Y24" s="66" t="n">
        <x:f>IF(AND($C24&lt;=Y$4+6,$D24&gt;=Y$4),1,0)</x:f>
        <x:v>0</x:v>
      </x:c>
      <x:c r="Z24" s="66" t="n">
        <x:f>IF(AND($C24&lt;=Z$4+6,$D24&gt;=Z$4),1,0)</x:f>
        <x:v>0</x:v>
      </x:c>
      <x:c r="AA24" s="66" t="n">
        <x:f>IF(AND($C24&lt;=AA$4+6,$D24&gt;=AA$4),1,0)</x:f>
        <x:v>0</x:v>
      </x:c>
      <x:c r="AB24" s="66" t="n">
        <x:f>IF(AND($C24&lt;=AB$4+6,$D24&gt;=AB$4),1,0)</x:f>
        <x:v>0</x:v>
      </x:c>
      <x:c r="AC24" s="66" t="n">
        <x:f>IF(AND($C24&lt;=AC$4+6,$D24&gt;=AC$4),1,0)</x:f>
        <x:v>0</x:v>
      </x:c>
      <x:c r="AD24" s="66" t="n">
        <x:f>IF(AND($C24&lt;=AD$4+6,$D24&gt;=AD$4),1,0)</x:f>
        <x:v>0</x:v>
      </x:c>
      <x:c r="AE24" s="66" t="n">
        <x:f>IF(AND($C24&lt;=AE$4+6,$D24&gt;=AE$4),1,0)</x:f>
        <x:v>0</x:v>
      </x:c>
      <x:c r="AF24" s="66" t="n">
        <x:f>IF(AND($C24&lt;=AF$4+6,$D24&gt;=AF$4),1,0)</x:f>
        <x:v>0</x:v>
      </x:c>
      <x:c r="AG24" s="66" t="n">
        <x:f>IF(AND($C24&lt;=AG$4+6,$D24&gt;=AG$4),1,0)</x:f>
        <x:v>0</x:v>
      </x:c>
      <x:c r="AH24" s="66" t="n">
        <x:f>IF(AND($C24&lt;=AH$4+6,$D24&gt;=AH$4),1,0)</x:f>
        <x:v>0</x:v>
      </x:c>
    </x:row>
    <x:row r="25" ht="38" customHeight="1">
      <x:c r="A25" s="3" t="str">
        <x:v>P2-06</x:v>
      </x:c>
      <x:c r="B25" s="3" t="str">
        <x:v>여행·하루·장소 독립 복사</x:v>
      </x:c>
      <x:c r="C25" s="16" t="n">
        <x:f>'기능별 일정'!H25</x:f>
        <x:v>46343</x:v>
      </x:c>
      <x:c r="D25" s="16" t="n">
        <x:f>'기능별 일정'!I25</x:f>
        <x:v>46344</x:v>
      </x:c>
      <x:c r="E25" s="66" t="n">
        <x:f>IF(AND($C25&lt;=E$4+6,$D25&gt;=E$4),1,0)</x:f>
        <x:v>0</x:v>
      </x:c>
      <x:c r="F25" s="66" t="n">
        <x:f>IF(AND($C25&lt;=F$4+6,$D25&gt;=F$4),1,0)</x:f>
        <x:v>0</x:v>
      </x:c>
      <x:c r="G25" s="66" t="n">
        <x:f>IF(AND($C25&lt;=G$4+6,$D25&gt;=G$4),1,0)</x:f>
        <x:v>0</x:v>
      </x:c>
      <x:c r="H25" s="66" t="n">
        <x:f>IF(AND($C25&lt;=H$4+6,$D25&gt;=H$4),1,0)</x:f>
        <x:v>0</x:v>
      </x:c>
      <x:c r="I25" s="66" t="n">
        <x:f>IF(AND($C25&lt;=I$4+6,$D25&gt;=I$4),1,0)</x:f>
        <x:v>0</x:v>
      </x:c>
      <x:c r="J25" s="66" t="n">
        <x:f>IF(AND($C25&lt;=J$4+6,$D25&gt;=J$4),1,0)</x:f>
        <x:v>0</x:v>
      </x:c>
      <x:c r="K25" s="66" t="n">
        <x:f>IF(AND($C25&lt;=K$4+6,$D25&gt;=K$4),1,0)</x:f>
        <x:v>0</x:v>
      </x:c>
      <x:c r="L25" s="66" t="n">
        <x:f>IF(AND($C25&lt;=L$4+6,$D25&gt;=L$4),1,0)</x:f>
        <x:v>0</x:v>
      </x:c>
      <x:c r="M25" s="66" t="n">
        <x:f>IF(AND($C25&lt;=M$4+6,$D25&gt;=M$4),1,0)</x:f>
        <x:v>0</x:v>
      </x:c>
      <x:c r="N25" s="66" t="n">
        <x:f>IF(AND($C25&lt;=N$4+6,$D25&gt;=N$4),1,0)</x:f>
        <x:v>1</x:v>
      </x:c>
      <x:c r="O25" s="66" t="n">
        <x:f>IF(AND($C25&lt;=O$4+6,$D25&gt;=O$4),1,0)</x:f>
        <x:v>0</x:v>
      </x:c>
      <x:c r="P25" s="66" t="n">
        <x:f>IF(AND($C25&lt;=P$4+6,$D25&gt;=P$4),1,0)</x:f>
        <x:v>0</x:v>
      </x:c>
      <x:c r="Q25" s="66" t="n">
        <x:f>IF(AND($C25&lt;=Q$4+6,$D25&gt;=Q$4),1,0)</x:f>
        <x:v>0</x:v>
      </x:c>
      <x:c r="R25" s="66" t="n">
        <x:f>IF(AND($C25&lt;=R$4+6,$D25&gt;=R$4),1,0)</x:f>
        <x:v>0</x:v>
      </x:c>
      <x:c r="S25" s="66" t="n">
        <x:f>IF(AND($C25&lt;=S$4+6,$D25&gt;=S$4),1,0)</x:f>
        <x:v>0</x:v>
      </x:c>
      <x:c r="T25" s="66" t="n">
        <x:f>IF(AND($C25&lt;=T$4+6,$D25&gt;=T$4),1,0)</x:f>
        <x:v>0</x:v>
      </x:c>
      <x:c r="U25" s="66" t="n">
        <x:f>IF(AND($C25&lt;=U$4+6,$D25&gt;=U$4),1,0)</x:f>
        <x:v>0</x:v>
      </x:c>
      <x:c r="V25" s="66" t="n">
        <x:f>IF(AND($C25&lt;=V$4+6,$D25&gt;=V$4),1,0)</x:f>
        <x:v>0</x:v>
      </x:c>
      <x:c r="W25" s="66" t="n">
        <x:f>IF(AND($C25&lt;=W$4+6,$D25&gt;=W$4),1,0)</x:f>
        <x:v>0</x:v>
      </x:c>
      <x:c r="X25" s="66" t="n">
        <x:f>IF(AND($C25&lt;=X$4+6,$D25&gt;=X$4),1,0)</x:f>
        <x:v>0</x:v>
      </x:c>
      <x:c r="Y25" s="66" t="n">
        <x:f>IF(AND($C25&lt;=Y$4+6,$D25&gt;=Y$4),1,0)</x:f>
        <x:v>0</x:v>
      </x:c>
      <x:c r="Z25" s="66" t="n">
        <x:f>IF(AND($C25&lt;=Z$4+6,$D25&gt;=Z$4),1,0)</x:f>
        <x:v>0</x:v>
      </x:c>
      <x:c r="AA25" s="66" t="n">
        <x:f>IF(AND($C25&lt;=AA$4+6,$D25&gt;=AA$4),1,0)</x:f>
        <x:v>0</x:v>
      </x:c>
      <x:c r="AB25" s="66" t="n">
        <x:f>IF(AND($C25&lt;=AB$4+6,$D25&gt;=AB$4),1,0)</x:f>
        <x:v>0</x:v>
      </x:c>
      <x:c r="AC25" s="66" t="n">
        <x:f>IF(AND($C25&lt;=AC$4+6,$D25&gt;=AC$4),1,0)</x:f>
        <x:v>0</x:v>
      </x:c>
      <x:c r="AD25" s="66" t="n">
        <x:f>IF(AND($C25&lt;=AD$4+6,$D25&gt;=AD$4),1,0)</x:f>
        <x:v>0</x:v>
      </x:c>
      <x:c r="AE25" s="66" t="n">
        <x:f>IF(AND($C25&lt;=AE$4+6,$D25&gt;=AE$4),1,0)</x:f>
        <x:v>0</x:v>
      </x:c>
      <x:c r="AF25" s="66" t="n">
        <x:f>IF(AND($C25&lt;=AF$4+6,$D25&gt;=AF$4),1,0)</x:f>
        <x:v>0</x:v>
      </x:c>
      <x:c r="AG25" s="66" t="n">
        <x:f>IF(AND($C25&lt;=AG$4+6,$D25&gt;=AG$4),1,0)</x:f>
        <x:v>0</x:v>
      </x:c>
      <x:c r="AH25" s="66" t="n">
        <x:f>IF(AND($C25&lt;=AH$4+6,$D25&gt;=AH$4),1,0)</x:f>
        <x:v>0</x:v>
      </x:c>
    </x:row>
    <x:row r="26" ht="38" customHeight="1">
      <x:c r="A26" s="3" t="str">
        <x:v>P2-07</x:v>
      </x:c>
      <x:c r="B26" s="3" t="str">
        <x:v>삭제 복구·마지막 변경 취소</x:v>
      </x:c>
      <x:c r="C26" s="16" t="n">
        <x:f>'기능별 일정'!H26</x:f>
        <x:v>46345</x:v>
      </x:c>
      <x:c r="D26" s="16" t="n">
        <x:f>'기능별 일정'!I26</x:f>
        <x:v>46346</x:v>
      </x:c>
      <x:c r="E26" s="66" t="n">
        <x:f>IF(AND($C26&lt;=E$4+6,$D26&gt;=E$4),1,0)</x:f>
        <x:v>0</x:v>
      </x:c>
      <x:c r="F26" s="66" t="n">
        <x:f>IF(AND($C26&lt;=F$4+6,$D26&gt;=F$4),1,0)</x:f>
        <x:v>0</x:v>
      </x:c>
      <x:c r="G26" s="66" t="n">
        <x:f>IF(AND($C26&lt;=G$4+6,$D26&gt;=G$4),1,0)</x:f>
        <x:v>0</x:v>
      </x:c>
      <x:c r="H26" s="66" t="n">
        <x:f>IF(AND($C26&lt;=H$4+6,$D26&gt;=H$4),1,0)</x:f>
        <x:v>0</x:v>
      </x:c>
      <x:c r="I26" s="66" t="n">
        <x:f>IF(AND($C26&lt;=I$4+6,$D26&gt;=I$4),1,0)</x:f>
        <x:v>0</x:v>
      </x:c>
      <x:c r="J26" s="66" t="n">
        <x:f>IF(AND($C26&lt;=J$4+6,$D26&gt;=J$4),1,0)</x:f>
        <x:v>0</x:v>
      </x:c>
      <x:c r="K26" s="66" t="n">
        <x:f>IF(AND($C26&lt;=K$4+6,$D26&gt;=K$4),1,0)</x:f>
        <x:v>0</x:v>
      </x:c>
      <x:c r="L26" s="66" t="n">
        <x:f>IF(AND($C26&lt;=L$4+6,$D26&gt;=L$4),1,0)</x:f>
        <x:v>0</x:v>
      </x:c>
      <x:c r="M26" s="66" t="n">
        <x:f>IF(AND($C26&lt;=M$4+6,$D26&gt;=M$4),1,0)</x:f>
        <x:v>0</x:v>
      </x:c>
      <x:c r="N26" s="66" t="n">
        <x:f>IF(AND($C26&lt;=N$4+6,$D26&gt;=N$4),1,0)</x:f>
        <x:v>1</x:v>
      </x:c>
      <x:c r="O26" s="66" t="n">
        <x:f>IF(AND($C26&lt;=O$4+6,$D26&gt;=O$4),1,0)</x:f>
        <x:v>0</x:v>
      </x:c>
      <x:c r="P26" s="66" t="n">
        <x:f>IF(AND($C26&lt;=P$4+6,$D26&gt;=P$4),1,0)</x:f>
        <x:v>0</x:v>
      </x:c>
      <x:c r="Q26" s="66" t="n">
        <x:f>IF(AND($C26&lt;=Q$4+6,$D26&gt;=Q$4),1,0)</x:f>
        <x:v>0</x:v>
      </x:c>
      <x:c r="R26" s="66" t="n">
        <x:f>IF(AND($C26&lt;=R$4+6,$D26&gt;=R$4),1,0)</x:f>
        <x:v>0</x:v>
      </x:c>
      <x:c r="S26" s="66" t="n">
        <x:f>IF(AND($C26&lt;=S$4+6,$D26&gt;=S$4),1,0)</x:f>
        <x:v>0</x:v>
      </x:c>
      <x:c r="T26" s="66" t="n">
        <x:f>IF(AND($C26&lt;=T$4+6,$D26&gt;=T$4),1,0)</x:f>
        <x:v>0</x:v>
      </x:c>
      <x:c r="U26" s="66" t="n">
        <x:f>IF(AND($C26&lt;=U$4+6,$D26&gt;=U$4),1,0)</x:f>
        <x:v>0</x:v>
      </x:c>
      <x:c r="V26" s="66" t="n">
        <x:f>IF(AND($C26&lt;=V$4+6,$D26&gt;=V$4),1,0)</x:f>
        <x:v>0</x:v>
      </x:c>
      <x:c r="W26" s="66" t="n">
        <x:f>IF(AND($C26&lt;=W$4+6,$D26&gt;=W$4),1,0)</x:f>
        <x:v>0</x:v>
      </x:c>
      <x:c r="X26" s="66" t="n">
        <x:f>IF(AND($C26&lt;=X$4+6,$D26&gt;=X$4),1,0)</x:f>
        <x:v>0</x:v>
      </x:c>
      <x:c r="Y26" s="66" t="n">
        <x:f>IF(AND($C26&lt;=Y$4+6,$D26&gt;=Y$4),1,0)</x:f>
        <x:v>0</x:v>
      </x:c>
      <x:c r="Z26" s="66" t="n">
        <x:f>IF(AND($C26&lt;=Z$4+6,$D26&gt;=Z$4),1,0)</x:f>
        <x:v>0</x:v>
      </x:c>
      <x:c r="AA26" s="66" t="n">
        <x:f>IF(AND($C26&lt;=AA$4+6,$D26&gt;=AA$4),1,0)</x:f>
        <x:v>0</x:v>
      </x:c>
      <x:c r="AB26" s="66" t="n">
        <x:f>IF(AND($C26&lt;=AB$4+6,$D26&gt;=AB$4),1,0)</x:f>
        <x:v>0</x:v>
      </x:c>
      <x:c r="AC26" s="66" t="n">
        <x:f>IF(AND($C26&lt;=AC$4+6,$D26&gt;=AC$4),1,0)</x:f>
        <x:v>0</x:v>
      </x:c>
      <x:c r="AD26" s="66" t="n">
        <x:f>IF(AND($C26&lt;=AD$4+6,$D26&gt;=AD$4),1,0)</x:f>
        <x:v>0</x:v>
      </x:c>
      <x:c r="AE26" s="66" t="n">
        <x:f>IF(AND($C26&lt;=AE$4+6,$D26&gt;=AE$4),1,0)</x:f>
        <x:v>0</x:v>
      </x:c>
      <x:c r="AF26" s="66" t="n">
        <x:f>IF(AND($C26&lt;=AF$4+6,$D26&gt;=AF$4),1,0)</x:f>
        <x:v>0</x:v>
      </x:c>
      <x:c r="AG26" s="66" t="n">
        <x:f>IF(AND($C26&lt;=AG$4+6,$D26&gt;=AG$4),1,0)</x:f>
        <x:v>0</x:v>
      </x:c>
      <x:c r="AH26" s="66" t="n">
        <x:f>IF(AND($C26&lt;=AH$4+6,$D26&gt;=AH$4),1,0)</x:f>
        <x:v>0</x:v>
      </x:c>
    </x:row>
    <x:row r="27" ht="38" customHeight="1">
      <x:c r="A27" s="3" t="str">
        <x:v>P2-08</x:v>
      </x:c>
      <x:c r="B27" s="3" t="str">
        <x:v>스팟 주변 음식점·카페 추가 팝업</x:v>
      </x:c>
      <x:c r="C27" s="16" t="n">
        <x:f>'기능별 일정'!H27</x:f>
        <x:v>46349</x:v>
      </x:c>
      <x:c r="D27" s="16" t="n">
        <x:f>'기능별 일정'!I27</x:f>
        <x:v>46351</x:v>
      </x:c>
      <x:c r="E27" s="66" t="n">
        <x:f>IF(AND($C27&lt;=E$4+6,$D27&gt;=E$4),1,0)</x:f>
        <x:v>0</x:v>
      </x:c>
      <x:c r="F27" s="66" t="n">
        <x:f>IF(AND($C27&lt;=F$4+6,$D27&gt;=F$4),1,0)</x:f>
        <x:v>0</x:v>
      </x:c>
      <x:c r="G27" s="66" t="n">
        <x:f>IF(AND($C27&lt;=G$4+6,$D27&gt;=G$4),1,0)</x:f>
        <x:v>0</x:v>
      </x:c>
      <x:c r="H27" s="66" t="n">
        <x:f>IF(AND($C27&lt;=H$4+6,$D27&gt;=H$4),1,0)</x:f>
        <x:v>0</x:v>
      </x:c>
      <x:c r="I27" s="66" t="n">
        <x:f>IF(AND($C27&lt;=I$4+6,$D27&gt;=I$4),1,0)</x:f>
        <x:v>0</x:v>
      </x:c>
      <x:c r="J27" s="66" t="n">
        <x:f>IF(AND($C27&lt;=J$4+6,$D27&gt;=J$4),1,0)</x:f>
        <x:v>0</x:v>
      </x:c>
      <x:c r="K27" s="66" t="n">
        <x:f>IF(AND($C27&lt;=K$4+6,$D27&gt;=K$4),1,0)</x:f>
        <x:v>0</x:v>
      </x:c>
      <x:c r="L27" s="66" t="n">
        <x:f>IF(AND($C27&lt;=L$4+6,$D27&gt;=L$4),1,0)</x:f>
        <x:v>0</x:v>
      </x:c>
      <x:c r="M27" s="66" t="n">
        <x:f>IF(AND($C27&lt;=M$4+6,$D27&gt;=M$4),1,0)</x:f>
        <x:v>0</x:v>
      </x:c>
      <x:c r="N27" s="66" t="n">
        <x:f>IF(AND($C27&lt;=N$4+6,$D27&gt;=N$4),1,0)</x:f>
        <x:v>0</x:v>
      </x:c>
      <x:c r="O27" s="66" t="n">
        <x:f>IF(AND($C27&lt;=O$4+6,$D27&gt;=O$4),1,0)</x:f>
        <x:v>1</x:v>
      </x:c>
      <x:c r="P27" s="66" t="n">
        <x:f>IF(AND($C27&lt;=P$4+6,$D27&gt;=P$4),1,0)</x:f>
        <x:v>0</x:v>
      </x:c>
      <x:c r="Q27" s="66" t="n">
        <x:f>IF(AND($C27&lt;=Q$4+6,$D27&gt;=Q$4),1,0)</x:f>
        <x:v>0</x:v>
      </x:c>
      <x:c r="R27" s="66" t="n">
        <x:f>IF(AND($C27&lt;=R$4+6,$D27&gt;=R$4),1,0)</x:f>
        <x:v>0</x:v>
      </x:c>
      <x:c r="S27" s="66" t="n">
        <x:f>IF(AND($C27&lt;=S$4+6,$D27&gt;=S$4),1,0)</x:f>
        <x:v>0</x:v>
      </x:c>
      <x:c r="T27" s="66" t="n">
        <x:f>IF(AND($C27&lt;=T$4+6,$D27&gt;=T$4),1,0)</x:f>
        <x:v>0</x:v>
      </x:c>
      <x:c r="U27" s="66" t="n">
        <x:f>IF(AND($C27&lt;=U$4+6,$D27&gt;=U$4),1,0)</x:f>
        <x:v>0</x:v>
      </x:c>
      <x:c r="V27" s="66" t="n">
        <x:f>IF(AND($C27&lt;=V$4+6,$D27&gt;=V$4),1,0)</x:f>
        <x:v>0</x:v>
      </x:c>
      <x:c r="W27" s="66" t="n">
        <x:f>IF(AND($C27&lt;=W$4+6,$D27&gt;=W$4),1,0)</x:f>
        <x:v>0</x:v>
      </x:c>
      <x:c r="X27" s="66" t="n">
        <x:f>IF(AND($C27&lt;=X$4+6,$D27&gt;=X$4),1,0)</x:f>
        <x:v>0</x:v>
      </x:c>
      <x:c r="Y27" s="66" t="n">
        <x:f>IF(AND($C27&lt;=Y$4+6,$D27&gt;=Y$4),1,0)</x:f>
        <x:v>0</x:v>
      </x:c>
      <x:c r="Z27" s="66" t="n">
        <x:f>IF(AND($C27&lt;=Z$4+6,$D27&gt;=Z$4),1,0)</x:f>
        <x:v>0</x:v>
      </x:c>
      <x:c r="AA27" s="66" t="n">
        <x:f>IF(AND($C27&lt;=AA$4+6,$D27&gt;=AA$4),1,0)</x:f>
        <x:v>0</x:v>
      </x:c>
      <x:c r="AB27" s="66" t="n">
        <x:f>IF(AND($C27&lt;=AB$4+6,$D27&gt;=AB$4),1,0)</x:f>
        <x:v>0</x:v>
      </x:c>
      <x:c r="AC27" s="66" t="n">
        <x:f>IF(AND($C27&lt;=AC$4+6,$D27&gt;=AC$4),1,0)</x:f>
        <x:v>0</x:v>
      </x:c>
      <x:c r="AD27" s="66" t="n">
        <x:f>IF(AND($C27&lt;=AD$4+6,$D27&gt;=AD$4),1,0)</x:f>
        <x:v>0</x:v>
      </x:c>
      <x:c r="AE27" s="66" t="n">
        <x:f>IF(AND($C27&lt;=AE$4+6,$D27&gt;=AE$4),1,0)</x:f>
        <x:v>0</x:v>
      </x:c>
      <x:c r="AF27" s="66" t="n">
        <x:f>IF(AND($C27&lt;=AF$4+6,$D27&gt;=AF$4),1,0)</x:f>
        <x:v>0</x:v>
      </x:c>
      <x:c r="AG27" s="66" t="n">
        <x:f>IF(AND($C27&lt;=AG$4+6,$D27&gt;=AG$4),1,0)</x:f>
        <x:v>0</x:v>
      </x:c>
      <x:c r="AH27" s="66" t="n">
        <x:f>IF(AND($C27&lt;=AH$4+6,$D27&gt;=AH$4),1,0)</x:f>
        <x:v>0</x:v>
      </x:c>
    </x:row>
    <x:row r="28" ht="38" customHeight="1">
      <x:c r="A28" s="3" t="str">
        <x:v>P2-09</x:v>
      </x:c>
      <x:c r="B28" s="3" t="str">
        <x:v>숙박 DAY 거점·연박·예약 고정</x:v>
      </x:c>
      <x:c r="C28" s="16" t="n">
        <x:f>'기능별 일정'!H28</x:f>
        <x:v>46352</x:v>
      </x:c>
      <x:c r="D28" s="16" t="n">
        <x:f>'기능별 일정'!I28</x:f>
        <x:v>46353</x:v>
      </x:c>
      <x:c r="E28" s="66" t="n">
        <x:f>IF(AND($C28&lt;=E$4+6,$D28&gt;=E$4),1,0)</x:f>
        <x:v>0</x:v>
      </x:c>
      <x:c r="F28" s="66" t="n">
        <x:f>IF(AND($C28&lt;=F$4+6,$D28&gt;=F$4),1,0)</x:f>
        <x:v>0</x:v>
      </x:c>
      <x:c r="G28" s="66" t="n">
        <x:f>IF(AND($C28&lt;=G$4+6,$D28&gt;=G$4),1,0)</x:f>
        <x:v>0</x:v>
      </x:c>
      <x:c r="H28" s="66" t="n">
        <x:f>IF(AND($C28&lt;=H$4+6,$D28&gt;=H$4),1,0)</x:f>
        <x:v>0</x:v>
      </x:c>
      <x:c r="I28" s="66" t="n">
        <x:f>IF(AND($C28&lt;=I$4+6,$D28&gt;=I$4),1,0)</x:f>
        <x:v>0</x:v>
      </x:c>
      <x:c r="J28" s="66" t="n">
        <x:f>IF(AND($C28&lt;=J$4+6,$D28&gt;=J$4),1,0)</x:f>
        <x:v>0</x:v>
      </x:c>
      <x:c r="K28" s="66" t="n">
        <x:f>IF(AND($C28&lt;=K$4+6,$D28&gt;=K$4),1,0)</x:f>
        <x:v>0</x:v>
      </x:c>
      <x:c r="L28" s="66" t="n">
        <x:f>IF(AND($C28&lt;=L$4+6,$D28&gt;=L$4),1,0)</x:f>
        <x:v>0</x:v>
      </x:c>
      <x:c r="M28" s="66" t="n">
        <x:f>IF(AND($C28&lt;=M$4+6,$D28&gt;=M$4),1,0)</x:f>
        <x:v>0</x:v>
      </x:c>
      <x:c r="N28" s="66" t="n">
        <x:f>IF(AND($C28&lt;=N$4+6,$D28&gt;=N$4),1,0)</x:f>
        <x:v>0</x:v>
      </x:c>
      <x:c r="O28" s="66" t="n">
        <x:f>IF(AND($C28&lt;=O$4+6,$D28&gt;=O$4),1,0)</x:f>
        <x:v>1</x:v>
      </x:c>
      <x:c r="P28" s="66" t="n">
        <x:f>IF(AND($C28&lt;=P$4+6,$D28&gt;=P$4),1,0)</x:f>
        <x:v>0</x:v>
      </x:c>
      <x:c r="Q28" s="66" t="n">
        <x:f>IF(AND($C28&lt;=Q$4+6,$D28&gt;=Q$4),1,0)</x:f>
        <x:v>0</x:v>
      </x:c>
      <x:c r="R28" s="66" t="n">
        <x:f>IF(AND($C28&lt;=R$4+6,$D28&gt;=R$4),1,0)</x:f>
        <x:v>0</x:v>
      </x:c>
      <x:c r="S28" s="66" t="n">
        <x:f>IF(AND($C28&lt;=S$4+6,$D28&gt;=S$4),1,0)</x:f>
        <x:v>0</x:v>
      </x:c>
      <x:c r="T28" s="66" t="n">
        <x:f>IF(AND($C28&lt;=T$4+6,$D28&gt;=T$4),1,0)</x:f>
        <x:v>0</x:v>
      </x:c>
      <x:c r="U28" s="66" t="n">
        <x:f>IF(AND($C28&lt;=U$4+6,$D28&gt;=U$4),1,0)</x:f>
        <x:v>0</x:v>
      </x:c>
      <x:c r="V28" s="66" t="n">
        <x:f>IF(AND($C28&lt;=V$4+6,$D28&gt;=V$4),1,0)</x:f>
        <x:v>0</x:v>
      </x:c>
      <x:c r="W28" s="66" t="n">
        <x:f>IF(AND($C28&lt;=W$4+6,$D28&gt;=W$4),1,0)</x:f>
        <x:v>0</x:v>
      </x:c>
      <x:c r="X28" s="66" t="n">
        <x:f>IF(AND($C28&lt;=X$4+6,$D28&gt;=X$4),1,0)</x:f>
        <x:v>0</x:v>
      </x:c>
      <x:c r="Y28" s="66" t="n">
        <x:f>IF(AND($C28&lt;=Y$4+6,$D28&gt;=Y$4),1,0)</x:f>
        <x:v>0</x:v>
      </x:c>
      <x:c r="Z28" s="66" t="n">
        <x:f>IF(AND($C28&lt;=Z$4+6,$D28&gt;=Z$4),1,0)</x:f>
        <x:v>0</x:v>
      </x:c>
      <x:c r="AA28" s="66" t="n">
        <x:f>IF(AND($C28&lt;=AA$4+6,$D28&gt;=AA$4),1,0)</x:f>
        <x:v>0</x:v>
      </x:c>
      <x:c r="AB28" s="66" t="n">
        <x:f>IF(AND($C28&lt;=AB$4+6,$D28&gt;=AB$4),1,0)</x:f>
        <x:v>0</x:v>
      </x:c>
      <x:c r="AC28" s="66" t="n">
        <x:f>IF(AND($C28&lt;=AC$4+6,$D28&gt;=AC$4),1,0)</x:f>
        <x:v>0</x:v>
      </x:c>
      <x:c r="AD28" s="66" t="n">
        <x:f>IF(AND($C28&lt;=AD$4+6,$D28&gt;=AD$4),1,0)</x:f>
        <x:v>0</x:v>
      </x:c>
      <x:c r="AE28" s="66" t="n">
        <x:f>IF(AND($C28&lt;=AE$4+6,$D28&gt;=AE$4),1,0)</x:f>
        <x:v>0</x:v>
      </x:c>
      <x:c r="AF28" s="66" t="n">
        <x:f>IF(AND($C28&lt;=AF$4+6,$D28&gt;=AF$4),1,0)</x:f>
        <x:v>0</x:v>
      </x:c>
      <x:c r="AG28" s="66" t="n">
        <x:f>IF(AND($C28&lt;=AG$4+6,$D28&gt;=AG$4),1,0)</x:f>
        <x:v>0</x:v>
      </x:c>
      <x:c r="AH28" s="66" t="n">
        <x:f>IF(AND($C28&lt;=AH$4+6,$D28&gt;=AH$4),1,0)</x:f>
        <x:v>0</x:v>
      </x:c>
    </x:row>
    <x:row r="29" ht="38" customHeight="1">
      <x:c r="A29" s="3" t="str">
        <x:v>P2-10</x:v>
      </x:c>
      <x:c r="B29" s="3" t="str">
        <x:v>카드별 좋아요·반응 목록</x:v>
      </x:c>
      <x:c r="C29" s="16" t="n">
        <x:f>'기능별 일정'!H29</x:f>
        <x:v>46356</x:v>
      </x:c>
      <x:c r="D29" s="16" t="n">
        <x:f>'기능별 일정'!I29</x:f>
        <x:v>46357</x:v>
      </x:c>
      <x:c r="E29" s="66" t="n">
        <x:f>IF(AND($C29&lt;=E$4+6,$D29&gt;=E$4),1,0)</x:f>
        <x:v>0</x:v>
      </x:c>
      <x:c r="F29" s="66" t="n">
        <x:f>IF(AND($C29&lt;=F$4+6,$D29&gt;=F$4),1,0)</x:f>
        <x:v>0</x:v>
      </x:c>
      <x:c r="G29" s="66" t="n">
        <x:f>IF(AND($C29&lt;=G$4+6,$D29&gt;=G$4),1,0)</x:f>
        <x:v>0</x:v>
      </x:c>
      <x:c r="H29" s="66" t="n">
        <x:f>IF(AND($C29&lt;=H$4+6,$D29&gt;=H$4),1,0)</x:f>
        <x:v>0</x:v>
      </x:c>
      <x:c r="I29" s="66" t="n">
        <x:f>IF(AND($C29&lt;=I$4+6,$D29&gt;=I$4),1,0)</x:f>
        <x:v>0</x:v>
      </x:c>
      <x:c r="J29" s="66" t="n">
        <x:f>IF(AND($C29&lt;=J$4+6,$D29&gt;=J$4),1,0)</x:f>
        <x:v>0</x:v>
      </x:c>
      <x:c r="K29" s="66" t="n">
        <x:f>IF(AND($C29&lt;=K$4+6,$D29&gt;=K$4),1,0)</x:f>
        <x:v>0</x:v>
      </x:c>
      <x:c r="L29" s="66" t="n">
        <x:f>IF(AND($C29&lt;=L$4+6,$D29&gt;=L$4),1,0)</x:f>
        <x:v>0</x:v>
      </x:c>
      <x:c r="M29" s="66" t="n">
        <x:f>IF(AND($C29&lt;=M$4+6,$D29&gt;=M$4),1,0)</x:f>
        <x:v>0</x:v>
      </x:c>
      <x:c r="N29" s="66" t="n">
        <x:f>IF(AND($C29&lt;=N$4+6,$D29&gt;=N$4),1,0)</x:f>
        <x:v>0</x:v>
      </x:c>
      <x:c r="O29" s="66" t="n">
        <x:f>IF(AND($C29&lt;=O$4+6,$D29&gt;=O$4),1,0)</x:f>
        <x:v>0</x:v>
      </x:c>
      <x:c r="P29" s="66" t="n">
        <x:f>IF(AND($C29&lt;=P$4+6,$D29&gt;=P$4),1,0)</x:f>
        <x:v>1</x:v>
      </x:c>
      <x:c r="Q29" s="66" t="n">
        <x:f>IF(AND($C29&lt;=Q$4+6,$D29&gt;=Q$4),1,0)</x:f>
        <x:v>0</x:v>
      </x:c>
      <x:c r="R29" s="66" t="n">
        <x:f>IF(AND($C29&lt;=R$4+6,$D29&gt;=R$4),1,0)</x:f>
        <x:v>0</x:v>
      </x:c>
      <x:c r="S29" s="66" t="n">
        <x:f>IF(AND($C29&lt;=S$4+6,$D29&gt;=S$4),1,0)</x:f>
        <x:v>0</x:v>
      </x:c>
      <x:c r="T29" s="66" t="n">
        <x:f>IF(AND($C29&lt;=T$4+6,$D29&gt;=T$4),1,0)</x:f>
        <x:v>0</x:v>
      </x:c>
      <x:c r="U29" s="66" t="n">
        <x:f>IF(AND($C29&lt;=U$4+6,$D29&gt;=U$4),1,0)</x:f>
        <x:v>0</x:v>
      </x:c>
      <x:c r="V29" s="66" t="n">
        <x:f>IF(AND($C29&lt;=V$4+6,$D29&gt;=V$4),1,0)</x:f>
        <x:v>0</x:v>
      </x:c>
      <x:c r="W29" s="66" t="n">
        <x:f>IF(AND($C29&lt;=W$4+6,$D29&gt;=W$4),1,0)</x:f>
        <x:v>0</x:v>
      </x:c>
      <x:c r="X29" s="66" t="n">
        <x:f>IF(AND($C29&lt;=X$4+6,$D29&gt;=X$4),1,0)</x:f>
        <x:v>0</x:v>
      </x:c>
      <x:c r="Y29" s="66" t="n">
        <x:f>IF(AND($C29&lt;=Y$4+6,$D29&gt;=Y$4),1,0)</x:f>
        <x:v>0</x:v>
      </x:c>
      <x:c r="Z29" s="66" t="n">
        <x:f>IF(AND($C29&lt;=Z$4+6,$D29&gt;=Z$4),1,0)</x:f>
        <x:v>0</x:v>
      </x:c>
      <x:c r="AA29" s="66" t="n">
        <x:f>IF(AND($C29&lt;=AA$4+6,$D29&gt;=AA$4),1,0)</x:f>
        <x:v>0</x:v>
      </x:c>
      <x:c r="AB29" s="66" t="n">
        <x:f>IF(AND($C29&lt;=AB$4+6,$D29&gt;=AB$4),1,0)</x:f>
        <x:v>0</x:v>
      </x:c>
      <x:c r="AC29" s="66" t="n">
        <x:f>IF(AND($C29&lt;=AC$4+6,$D29&gt;=AC$4),1,0)</x:f>
        <x:v>0</x:v>
      </x:c>
      <x:c r="AD29" s="66" t="n">
        <x:f>IF(AND($C29&lt;=AD$4+6,$D29&gt;=AD$4),1,0)</x:f>
        <x:v>0</x:v>
      </x:c>
      <x:c r="AE29" s="66" t="n">
        <x:f>IF(AND($C29&lt;=AE$4+6,$D29&gt;=AE$4),1,0)</x:f>
        <x:v>0</x:v>
      </x:c>
      <x:c r="AF29" s="66" t="n">
        <x:f>IF(AND($C29&lt;=AF$4+6,$D29&gt;=AF$4),1,0)</x:f>
        <x:v>0</x:v>
      </x:c>
      <x:c r="AG29" s="66" t="n">
        <x:f>IF(AND($C29&lt;=AG$4+6,$D29&gt;=AG$4),1,0)</x:f>
        <x:v>0</x:v>
      </x:c>
      <x:c r="AH29" s="66" t="n">
        <x:f>IF(AND($C29&lt;=AH$4+6,$D29&gt;=AH$4),1,0)</x:f>
        <x:v>0</x:v>
      </x:c>
    </x:row>
    <x:row r="30" ht="38" customHeight="1">
      <x:c r="A30" s="3" t="str">
        <x:v>P2-11</x:v>
      </x:c>
      <x:c r="B30" s="3" t="str">
        <x:v>카드 댓글·답글·수정·삭제</x:v>
      </x:c>
      <x:c r="C30" s="16" t="n">
        <x:f>'기능별 일정'!H30</x:f>
        <x:v>46358</x:v>
      </x:c>
      <x:c r="D30" s="16" t="n">
        <x:f>'기능별 일정'!I30</x:f>
        <x:v>46360</x:v>
      </x:c>
      <x:c r="E30" s="66" t="n">
        <x:f>IF(AND($C30&lt;=E$4+6,$D30&gt;=E$4),1,0)</x:f>
        <x:v>0</x:v>
      </x:c>
      <x:c r="F30" s="66" t="n">
        <x:f>IF(AND($C30&lt;=F$4+6,$D30&gt;=F$4),1,0)</x:f>
        <x:v>0</x:v>
      </x:c>
      <x:c r="G30" s="66" t="n">
        <x:f>IF(AND($C30&lt;=G$4+6,$D30&gt;=G$4),1,0)</x:f>
        <x:v>0</x:v>
      </x:c>
      <x:c r="H30" s="66" t="n">
        <x:f>IF(AND($C30&lt;=H$4+6,$D30&gt;=H$4),1,0)</x:f>
        <x:v>0</x:v>
      </x:c>
      <x:c r="I30" s="66" t="n">
        <x:f>IF(AND($C30&lt;=I$4+6,$D30&gt;=I$4),1,0)</x:f>
        <x:v>0</x:v>
      </x:c>
      <x:c r="J30" s="66" t="n">
        <x:f>IF(AND($C30&lt;=J$4+6,$D30&gt;=J$4),1,0)</x:f>
        <x:v>0</x:v>
      </x:c>
      <x:c r="K30" s="66" t="n">
        <x:f>IF(AND($C30&lt;=K$4+6,$D30&gt;=K$4),1,0)</x:f>
        <x:v>0</x:v>
      </x:c>
      <x:c r="L30" s="66" t="n">
        <x:f>IF(AND($C30&lt;=L$4+6,$D30&gt;=L$4),1,0)</x:f>
        <x:v>0</x:v>
      </x:c>
      <x:c r="M30" s="66" t="n">
        <x:f>IF(AND($C30&lt;=M$4+6,$D30&gt;=M$4),1,0)</x:f>
        <x:v>0</x:v>
      </x:c>
      <x:c r="N30" s="66" t="n">
        <x:f>IF(AND($C30&lt;=N$4+6,$D30&gt;=N$4),1,0)</x:f>
        <x:v>0</x:v>
      </x:c>
      <x:c r="O30" s="66" t="n">
        <x:f>IF(AND($C30&lt;=O$4+6,$D30&gt;=O$4),1,0)</x:f>
        <x:v>0</x:v>
      </x:c>
      <x:c r="P30" s="66" t="n">
        <x:f>IF(AND($C30&lt;=P$4+6,$D30&gt;=P$4),1,0)</x:f>
        <x:v>1</x:v>
      </x:c>
      <x:c r="Q30" s="66" t="n">
        <x:f>IF(AND($C30&lt;=Q$4+6,$D30&gt;=Q$4),1,0)</x:f>
        <x:v>0</x:v>
      </x:c>
      <x:c r="R30" s="66" t="n">
        <x:f>IF(AND($C30&lt;=R$4+6,$D30&gt;=R$4),1,0)</x:f>
        <x:v>0</x:v>
      </x:c>
      <x:c r="S30" s="66" t="n">
        <x:f>IF(AND($C30&lt;=S$4+6,$D30&gt;=S$4),1,0)</x:f>
        <x:v>0</x:v>
      </x:c>
      <x:c r="T30" s="66" t="n">
        <x:f>IF(AND($C30&lt;=T$4+6,$D30&gt;=T$4),1,0)</x:f>
        <x:v>0</x:v>
      </x:c>
      <x:c r="U30" s="66" t="n">
        <x:f>IF(AND($C30&lt;=U$4+6,$D30&gt;=U$4),1,0)</x:f>
        <x:v>0</x:v>
      </x:c>
      <x:c r="V30" s="66" t="n">
        <x:f>IF(AND($C30&lt;=V$4+6,$D30&gt;=V$4),1,0)</x:f>
        <x:v>0</x:v>
      </x:c>
      <x:c r="W30" s="66" t="n">
        <x:f>IF(AND($C30&lt;=W$4+6,$D30&gt;=W$4),1,0)</x:f>
        <x:v>0</x:v>
      </x:c>
      <x:c r="X30" s="66" t="n">
        <x:f>IF(AND($C30&lt;=X$4+6,$D30&gt;=X$4),1,0)</x:f>
        <x:v>0</x:v>
      </x:c>
      <x:c r="Y30" s="66" t="n">
        <x:f>IF(AND($C30&lt;=Y$4+6,$D30&gt;=Y$4),1,0)</x:f>
        <x:v>0</x:v>
      </x:c>
      <x:c r="Z30" s="66" t="n">
        <x:f>IF(AND($C30&lt;=Z$4+6,$D30&gt;=Z$4),1,0)</x:f>
        <x:v>0</x:v>
      </x:c>
      <x:c r="AA30" s="66" t="n">
        <x:f>IF(AND($C30&lt;=AA$4+6,$D30&gt;=AA$4),1,0)</x:f>
        <x:v>0</x:v>
      </x:c>
      <x:c r="AB30" s="66" t="n">
        <x:f>IF(AND($C30&lt;=AB$4+6,$D30&gt;=AB$4),1,0)</x:f>
        <x:v>0</x:v>
      </x:c>
      <x:c r="AC30" s="66" t="n">
        <x:f>IF(AND($C30&lt;=AC$4+6,$D30&gt;=AC$4),1,0)</x:f>
        <x:v>0</x:v>
      </x:c>
      <x:c r="AD30" s="66" t="n">
        <x:f>IF(AND($C30&lt;=AD$4+6,$D30&gt;=AD$4),1,0)</x:f>
        <x:v>0</x:v>
      </x:c>
      <x:c r="AE30" s="66" t="n">
        <x:f>IF(AND($C30&lt;=AE$4+6,$D30&gt;=AE$4),1,0)</x:f>
        <x:v>0</x:v>
      </x:c>
      <x:c r="AF30" s="66" t="n">
        <x:f>IF(AND($C30&lt;=AF$4+6,$D30&gt;=AF$4),1,0)</x:f>
        <x:v>0</x:v>
      </x:c>
      <x:c r="AG30" s="66" t="n">
        <x:f>IF(AND($C30&lt;=AG$4+6,$D30&gt;=AG$4),1,0)</x:f>
        <x:v>0</x:v>
      </x:c>
      <x:c r="AH30" s="66" t="n">
        <x:f>IF(AND($C30&lt;=AH$4+6,$D30&gt;=AH$4),1,0)</x:f>
        <x:v>0</x:v>
      </x:c>
    </x:row>
    <x:row r="31" ht="38" customHeight="1">
      <x:c r="A31" s="3" t="str">
        <x:v>P2-12</x:v>
      </x:c>
      <x:c r="B31" s="3" t="str">
        <x:v>읽기·편집 권한과 소통 실패 상태</x:v>
      </x:c>
      <x:c r="C31" s="16" t="n">
        <x:f>'기능별 일정'!H31</x:f>
        <x:v>46363</x:v>
      </x:c>
      <x:c r="D31" s="16" t="n">
        <x:f>'기능별 일정'!I31</x:f>
        <x:v>46363</x:v>
      </x:c>
      <x:c r="E31" s="66" t="n">
        <x:f>IF(AND($C31&lt;=E$4+6,$D31&gt;=E$4),1,0)</x:f>
        <x:v>0</x:v>
      </x:c>
      <x:c r="F31" s="66" t="n">
        <x:f>IF(AND($C31&lt;=F$4+6,$D31&gt;=F$4),1,0)</x:f>
        <x:v>0</x:v>
      </x:c>
      <x:c r="G31" s="66" t="n">
        <x:f>IF(AND($C31&lt;=G$4+6,$D31&gt;=G$4),1,0)</x:f>
        <x:v>0</x:v>
      </x:c>
      <x:c r="H31" s="66" t="n">
        <x:f>IF(AND($C31&lt;=H$4+6,$D31&gt;=H$4),1,0)</x:f>
        <x:v>0</x:v>
      </x:c>
      <x:c r="I31" s="66" t="n">
        <x:f>IF(AND($C31&lt;=I$4+6,$D31&gt;=I$4),1,0)</x:f>
        <x:v>0</x:v>
      </x:c>
      <x:c r="J31" s="66" t="n">
        <x:f>IF(AND($C31&lt;=J$4+6,$D31&gt;=J$4),1,0)</x:f>
        <x:v>0</x:v>
      </x:c>
      <x:c r="K31" s="66" t="n">
        <x:f>IF(AND($C31&lt;=K$4+6,$D31&gt;=K$4),1,0)</x:f>
        <x:v>0</x:v>
      </x:c>
      <x:c r="L31" s="66" t="n">
        <x:f>IF(AND($C31&lt;=L$4+6,$D31&gt;=L$4),1,0)</x:f>
        <x:v>0</x:v>
      </x:c>
      <x:c r="M31" s="66" t="n">
        <x:f>IF(AND($C31&lt;=M$4+6,$D31&gt;=M$4),1,0)</x:f>
        <x:v>0</x:v>
      </x:c>
      <x:c r="N31" s="66" t="n">
        <x:f>IF(AND($C31&lt;=N$4+6,$D31&gt;=N$4),1,0)</x:f>
        <x:v>0</x:v>
      </x:c>
      <x:c r="O31" s="66" t="n">
        <x:f>IF(AND($C31&lt;=O$4+6,$D31&gt;=O$4),1,0)</x:f>
        <x:v>0</x:v>
      </x:c>
      <x:c r="P31" s="66" t="n">
        <x:f>IF(AND($C31&lt;=P$4+6,$D31&gt;=P$4),1,0)</x:f>
        <x:v>0</x:v>
      </x:c>
      <x:c r="Q31" s="66" t="n">
        <x:f>IF(AND($C31&lt;=Q$4+6,$D31&gt;=Q$4),1,0)</x:f>
        <x:v>1</x:v>
      </x:c>
      <x:c r="R31" s="66" t="n">
        <x:f>IF(AND($C31&lt;=R$4+6,$D31&gt;=R$4),1,0)</x:f>
        <x:v>0</x:v>
      </x:c>
      <x:c r="S31" s="66" t="n">
        <x:f>IF(AND($C31&lt;=S$4+6,$D31&gt;=S$4),1,0)</x:f>
        <x:v>0</x:v>
      </x:c>
      <x:c r="T31" s="66" t="n">
        <x:f>IF(AND($C31&lt;=T$4+6,$D31&gt;=T$4),1,0)</x:f>
        <x:v>0</x:v>
      </x:c>
      <x:c r="U31" s="66" t="n">
        <x:f>IF(AND($C31&lt;=U$4+6,$D31&gt;=U$4),1,0)</x:f>
        <x:v>0</x:v>
      </x:c>
      <x:c r="V31" s="66" t="n">
        <x:f>IF(AND($C31&lt;=V$4+6,$D31&gt;=V$4),1,0)</x:f>
        <x:v>0</x:v>
      </x:c>
      <x:c r="W31" s="66" t="n">
        <x:f>IF(AND($C31&lt;=W$4+6,$D31&gt;=W$4),1,0)</x:f>
        <x:v>0</x:v>
      </x:c>
      <x:c r="X31" s="66" t="n">
        <x:f>IF(AND($C31&lt;=X$4+6,$D31&gt;=X$4),1,0)</x:f>
        <x:v>0</x:v>
      </x:c>
      <x:c r="Y31" s="66" t="n">
        <x:f>IF(AND($C31&lt;=Y$4+6,$D31&gt;=Y$4),1,0)</x:f>
        <x:v>0</x:v>
      </x:c>
      <x:c r="Z31" s="66" t="n">
        <x:f>IF(AND($C31&lt;=Z$4+6,$D31&gt;=Z$4),1,0)</x:f>
        <x:v>0</x:v>
      </x:c>
      <x:c r="AA31" s="66" t="n">
        <x:f>IF(AND($C31&lt;=AA$4+6,$D31&gt;=AA$4),1,0)</x:f>
        <x:v>0</x:v>
      </x:c>
      <x:c r="AB31" s="66" t="n">
        <x:f>IF(AND($C31&lt;=AB$4+6,$D31&gt;=AB$4),1,0)</x:f>
        <x:v>0</x:v>
      </x:c>
      <x:c r="AC31" s="66" t="n">
        <x:f>IF(AND($C31&lt;=AC$4+6,$D31&gt;=AC$4),1,0)</x:f>
        <x:v>0</x:v>
      </x:c>
      <x:c r="AD31" s="66" t="n">
        <x:f>IF(AND($C31&lt;=AD$4+6,$D31&gt;=AD$4),1,0)</x:f>
        <x:v>0</x:v>
      </x:c>
      <x:c r="AE31" s="66" t="n">
        <x:f>IF(AND($C31&lt;=AE$4+6,$D31&gt;=AE$4),1,0)</x:f>
        <x:v>0</x:v>
      </x:c>
      <x:c r="AF31" s="66" t="n">
        <x:f>IF(AND($C31&lt;=AF$4+6,$D31&gt;=AF$4),1,0)</x:f>
        <x:v>0</x:v>
      </x:c>
      <x:c r="AG31" s="66" t="n">
        <x:f>IF(AND($C31&lt;=AG$4+6,$D31&gt;=AG$4),1,0)</x:f>
        <x:v>0</x:v>
      </x:c>
      <x:c r="AH31" s="66" t="n">
        <x:f>IF(AND($C31&lt;=AH$4+6,$D31&gt;=AH$4),1,0)</x:f>
        <x:v>0</x:v>
      </x:c>
    </x:row>
    <x:row r="32" ht="38" customHeight="1">
      <x:c r="A32" s="3" t="str">
        <x:v>P2-13</x:v>
      </x:c>
      <x:c r="B32" s="3" t="str">
        <x:v>DAY 목록·지도·이동 정보 연결</x:v>
      </x:c>
      <x:c r="C32" s="16" t="n">
        <x:f>'기능별 일정'!H32</x:f>
        <x:v>46364</x:v>
      </x:c>
      <x:c r="D32" s="16" t="n">
        <x:f>'기능별 일정'!I32</x:f>
        <x:v>46365</x:v>
      </x:c>
      <x:c r="E32" s="66" t="n">
        <x:f>IF(AND($C32&lt;=E$4+6,$D32&gt;=E$4),1,0)</x:f>
        <x:v>0</x:v>
      </x:c>
      <x:c r="F32" s="66" t="n">
        <x:f>IF(AND($C32&lt;=F$4+6,$D32&gt;=F$4),1,0)</x:f>
        <x:v>0</x:v>
      </x:c>
      <x:c r="G32" s="66" t="n">
        <x:f>IF(AND($C32&lt;=G$4+6,$D32&gt;=G$4),1,0)</x:f>
        <x:v>0</x:v>
      </x:c>
      <x:c r="H32" s="66" t="n">
        <x:f>IF(AND($C32&lt;=H$4+6,$D32&gt;=H$4),1,0)</x:f>
        <x:v>0</x:v>
      </x:c>
      <x:c r="I32" s="66" t="n">
        <x:f>IF(AND($C32&lt;=I$4+6,$D32&gt;=I$4),1,0)</x:f>
        <x:v>0</x:v>
      </x:c>
      <x:c r="J32" s="66" t="n">
        <x:f>IF(AND($C32&lt;=J$4+6,$D32&gt;=J$4),1,0)</x:f>
        <x:v>0</x:v>
      </x:c>
      <x:c r="K32" s="66" t="n">
        <x:f>IF(AND($C32&lt;=K$4+6,$D32&gt;=K$4),1,0)</x:f>
        <x:v>0</x:v>
      </x:c>
      <x:c r="L32" s="66" t="n">
        <x:f>IF(AND($C32&lt;=L$4+6,$D32&gt;=L$4),1,0)</x:f>
        <x:v>0</x:v>
      </x:c>
      <x:c r="M32" s="66" t="n">
        <x:f>IF(AND($C32&lt;=M$4+6,$D32&gt;=M$4),1,0)</x:f>
        <x:v>0</x:v>
      </x:c>
      <x:c r="N32" s="66" t="n">
        <x:f>IF(AND($C32&lt;=N$4+6,$D32&gt;=N$4),1,0)</x:f>
        <x:v>0</x:v>
      </x:c>
      <x:c r="O32" s="66" t="n">
        <x:f>IF(AND($C32&lt;=O$4+6,$D32&gt;=O$4),1,0)</x:f>
        <x:v>0</x:v>
      </x:c>
      <x:c r="P32" s="66" t="n">
        <x:f>IF(AND($C32&lt;=P$4+6,$D32&gt;=P$4),1,0)</x:f>
        <x:v>0</x:v>
      </x:c>
      <x:c r="Q32" s="66" t="n">
        <x:f>IF(AND($C32&lt;=Q$4+6,$D32&gt;=Q$4),1,0)</x:f>
        <x:v>1</x:v>
      </x:c>
      <x:c r="R32" s="66" t="n">
        <x:f>IF(AND($C32&lt;=R$4+6,$D32&gt;=R$4),1,0)</x:f>
        <x:v>0</x:v>
      </x:c>
      <x:c r="S32" s="66" t="n">
        <x:f>IF(AND($C32&lt;=S$4+6,$D32&gt;=S$4),1,0)</x:f>
        <x:v>0</x:v>
      </x:c>
      <x:c r="T32" s="66" t="n">
        <x:f>IF(AND($C32&lt;=T$4+6,$D32&gt;=T$4),1,0)</x:f>
        <x:v>0</x:v>
      </x:c>
      <x:c r="U32" s="66" t="n">
        <x:f>IF(AND($C32&lt;=U$4+6,$D32&gt;=U$4),1,0)</x:f>
        <x:v>0</x:v>
      </x:c>
      <x:c r="V32" s="66" t="n">
        <x:f>IF(AND($C32&lt;=V$4+6,$D32&gt;=V$4),1,0)</x:f>
        <x:v>0</x:v>
      </x:c>
      <x:c r="W32" s="66" t="n">
        <x:f>IF(AND($C32&lt;=W$4+6,$D32&gt;=W$4),1,0)</x:f>
        <x:v>0</x:v>
      </x:c>
      <x:c r="X32" s="66" t="n">
        <x:f>IF(AND($C32&lt;=X$4+6,$D32&gt;=X$4),1,0)</x:f>
        <x:v>0</x:v>
      </x:c>
      <x:c r="Y32" s="66" t="n">
        <x:f>IF(AND($C32&lt;=Y$4+6,$D32&gt;=Y$4),1,0)</x:f>
        <x:v>0</x:v>
      </x:c>
      <x:c r="Z32" s="66" t="n">
        <x:f>IF(AND($C32&lt;=Z$4+6,$D32&gt;=Z$4),1,0)</x:f>
        <x:v>0</x:v>
      </x:c>
      <x:c r="AA32" s="66" t="n">
        <x:f>IF(AND($C32&lt;=AA$4+6,$D32&gt;=AA$4),1,0)</x:f>
        <x:v>0</x:v>
      </x:c>
      <x:c r="AB32" s="66" t="n">
        <x:f>IF(AND($C32&lt;=AB$4+6,$D32&gt;=AB$4),1,0)</x:f>
        <x:v>0</x:v>
      </x:c>
      <x:c r="AC32" s="66" t="n">
        <x:f>IF(AND($C32&lt;=AC$4+6,$D32&gt;=AC$4),1,0)</x:f>
        <x:v>0</x:v>
      </x:c>
      <x:c r="AD32" s="66" t="n">
        <x:f>IF(AND($C32&lt;=AD$4+6,$D32&gt;=AD$4),1,0)</x:f>
        <x:v>0</x:v>
      </x:c>
      <x:c r="AE32" s="66" t="n">
        <x:f>IF(AND($C32&lt;=AE$4+6,$D32&gt;=AE$4),1,0)</x:f>
        <x:v>0</x:v>
      </x:c>
      <x:c r="AF32" s="66" t="n">
        <x:f>IF(AND($C32&lt;=AF$4+6,$D32&gt;=AF$4),1,0)</x:f>
        <x:v>0</x:v>
      </x:c>
      <x:c r="AG32" s="66" t="n">
        <x:f>IF(AND($C32&lt;=AG$4+6,$D32&gt;=AG$4),1,0)</x:f>
        <x:v>0</x:v>
      </x:c>
      <x:c r="AH32" s="66" t="n">
        <x:f>IF(AND($C32&lt;=AH$4+6,$D32&gt;=AH$4),1,0)</x:f>
        <x:v>0</x:v>
      </x:c>
    </x:row>
    <x:row r="33" ht="38" customHeight="1">
      <x:c r="A33" s="3" t="str">
        <x:v>P2-14</x:v>
      </x:c>
      <x:c r="B33" s="3" t="str">
        <x:v>읽기 미리보기·발행 전 확인</x:v>
      </x:c>
      <x:c r="C33" s="16" t="n">
        <x:f>'기능별 일정'!H33</x:f>
        <x:v>46366</x:v>
      </x:c>
      <x:c r="D33" s="16" t="n">
        <x:f>'기능별 일정'!I33</x:f>
        <x:v>46366</x:v>
      </x:c>
      <x:c r="E33" s="66" t="n">
        <x:f>IF(AND($C33&lt;=E$4+6,$D33&gt;=E$4),1,0)</x:f>
        <x:v>0</x:v>
      </x:c>
      <x:c r="F33" s="66" t="n">
        <x:f>IF(AND($C33&lt;=F$4+6,$D33&gt;=F$4),1,0)</x:f>
        <x:v>0</x:v>
      </x:c>
      <x:c r="G33" s="66" t="n">
        <x:f>IF(AND($C33&lt;=G$4+6,$D33&gt;=G$4),1,0)</x:f>
        <x:v>0</x:v>
      </x:c>
      <x:c r="H33" s="66" t="n">
        <x:f>IF(AND($C33&lt;=H$4+6,$D33&gt;=H$4),1,0)</x:f>
        <x:v>0</x:v>
      </x:c>
      <x:c r="I33" s="66" t="n">
        <x:f>IF(AND($C33&lt;=I$4+6,$D33&gt;=I$4),1,0)</x:f>
        <x:v>0</x:v>
      </x:c>
      <x:c r="J33" s="66" t="n">
        <x:f>IF(AND($C33&lt;=J$4+6,$D33&gt;=J$4),1,0)</x:f>
        <x:v>0</x:v>
      </x:c>
      <x:c r="K33" s="66" t="n">
        <x:f>IF(AND($C33&lt;=K$4+6,$D33&gt;=K$4),1,0)</x:f>
        <x:v>0</x:v>
      </x:c>
      <x:c r="L33" s="66" t="n">
        <x:f>IF(AND($C33&lt;=L$4+6,$D33&gt;=L$4),1,0)</x:f>
        <x:v>0</x:v>
      </x:c>
      <x:c r="M33" s="66" t="n">
        <x:f>IF(AND($C33&lt;=M$4+6,$D33&gt;=M$4),1,0)</x:f>
        <x:v>0</x:v>
      </x:c>
      <x:c r="N33" s="66" t="n">
        <x:f>IF(AND($C33&lt;=N$4+6,$D33&gt;=N$4),1,0)</x:f>
        <x:v>0</x:v>
      </x:c>
      <x:c r="O33" s="66" t="n">
        <x:f>IF(AND($C33&lt;=O$4+6,$D33&gt;=O$4),1,0)</x:f>
        <x:v>0</x:v>
      </x:c>
      <x:c r="P33" s="66" t="n">
        <x:f>IF(AND($C33&lt;=P$4+6,$D33&gt;=P$4),1,0)</x:f>
        <x:v>0</x:v>
      </x:c>
      <x:c r="Q33" s="66" t="n">
        <x:f>IF(AND($C33&lt;=Q$4+6,$D33&gt;=Q$4),1,0)</x:f>
        <x:v>1</x:v>
      </x:c>
      <x:c r="R33" s="66" t="n">
        <x:f>IF(AND($C33&lt;=R$4+6,$D33&gt;=R$4),1,0)</x:f>
        <x:v>0</x:v>
      </x:c>
      <x:c r="S33" s="66" t="n">
        <x:f>IF(AND($C33&lt;=S$4+6,$D33&gt;=S$4),1,0)</x:f>
        <x:v>0</x:v>
      </x:c>
      <x:c r="T33" s="66" t="n">
        <x:f>IF(AND($C33&lt;=T$4+6,$D33&gt;=T$4),1,0)</x:f>
        <x:v>0</x:v>
      </x:c>
      <x:c r="U33" s="66" t="n">
        <x:f>IF(AND($C33&lt;=U$4+6,$D33&gt;=U$4),1,0)</x:f>
        <x:v>0</x:v>
      </x:c>
      <x:c r="V33" s="66" t="n">
        <x:f>IF(AND($C33&lt;=V$4+6,$D33&gt;=V$4),1,0)</x:f>
        <x:v>0</x:v>
      </x:c>
      <x:c r="W33" s="66" t="n">
        <x:f>IF(AND($C33&lt;=W$4+6,$D33&gt;=W$4),1,0)</x:f>
        <x:v>0</x:v>
      </x:c>
      <x:c r="X33" s="66" t="n">
        <x:f>IF(AND($C33&lt;=X$4+6,$D33&gt;=X$4),1,0)</x:f>
        <x:v>0</x:v>
      </x:c>
      <x:c r="Y33" s="66" t="n">
        <x:f>IF(AND($C33&lt;=Y$4+6,$D33&gt;=Y$4),1,0)</x:f>
        <x:v>0</x:v>
      </x:c>
      <x:c r="Z33" s="66" t="n">
        <x:f>IF(AND($C33&lt;=Z$4+6,$D33&gt;=Z$4),1,0)</x:f>
        <x:v>0</x:v>
      </x:c>
      <x:c r="AA33" s="66" t="n">
        <x:f>IF(AND($C33&lt;=AA$4+6,$D33&gt;=AA$4),1,0)</x:f>
        <x:v>0</x:v>
      </x:c>
      <x:c r="AB33" s="66" t="n">
        <x:f>IF(AND($C33&lt;=AB$4+6,$D33&gt;=AB$4),1,0)</x:f>
        <x:v>0</x:v>
      </x:c>
      <x:c r="AC33" s="66" t="n">
        <x:f>IF(AND($C33&lt;=AC$4+6,$D33&gt;=AC$4),1,0)</x:f>
        <x:v>0</x:v>
      </x:c>
      <x:c r="AD33" s="66" t="n">
        <x:f>IF(AND($C33&lt;=AD$4+6,$D33&gt;=AD$4),1,0)</x:f>
        <x:v>0</x:v>
      </x:c>
      <x:c r="AE33" s="66" t="n">
        <x:f>IF(AND($C33&lt;=AE$4+6,$D33&gt;=AE$4),1,0)</x:f>
        <x:v>0</x:v>
      </x:c>
      <x:c r="AF33" s="66" t="n">
        <x:f>IF(AND($C33&lt;=AF$4+6,$D33&gt;=AF$4),1,0)</x:f>
        <x:v>0</x:v>
      </x:c>
      <x:c r="AG33" s="66" t="n">
        <x:f>IF(AND($C33&lt;=AG$4+6,$D33&gt;=AG$4),1,0)</x:f>
        <x:v>0</x:v>
      </x:c>
      <x:c r="AH33" s="66" t="n">
        <x:f>IF(AND($C33&lt;=AH$4+6,$D33&gt;=AH$4),1,0)</x:f>
        <x:v>0</x:v>
      </x:c>
    </x:row>
    <x:row r="34" ht="38" customHeight="1">
      <x:c r="A34" s="3" t="str">
        <x:v>P2-15</x:v>
      </x:c>
      <x:c r="B34" s="3" t="str">
        <x:v>2차 통합·기록 보존·기기 검수</x:v>
      </x:c>
      <x:c r="C34" s="16" t="n">
        <x:f>'기능별 일정'!H34</x:f>
        <x:v>46367</x:v>
      </x:c>
      <x:c r="D34" s="16" t="n">
        <x:f>'기능별 일정'!I34</x:f>
        <x:v>46371</x:v>
      </x:c>
      <x:c r="E34" s="66" t="n">
        <x:f>IF(AND($C34&lt;=E$4+6,$D34&gt;=E$4),1,0)</x:f>
        <x:v>0</x:v>
      </x:c>
      <x:c r="F34" s="66" t="n">
        <x:f>IF(AND($C34&lt;=F$4+6,$D34&gt;=F$4),1,0)</x:f>
        <x:v>0</x:v>
      </x:c>
      <x:c r="G34" s="66" t="n">
        <x:f>IF(AND($C34&lt;=G$4+6,$D34&gt;=G$4),1,0)</x:f>
        <x:v>0</x:v>
      </x:c>
      <x:c r="H34" s="66" t="n">
        <x:f>IF(AND($C34&lt;=H$4+6,$D34&gt;=H$4),1,0)</x:f>
        <x:v>0</x:v>
      </x:c>
      <x:c r="I34" s="66" t="n">
        <x:f>IF(AND($C34&lt;=I$4+6,$D34&gt;=I$4),1,0)</x:f>
        <x:v>0</x:v>
      </x:c>
      <x:c r="J34" s="66" t="n">
        <x:f>IF(AND($C34&lt;=J$4+6,$D34&gt;=J$4),1,0)</x:f>
        <x:v>0</x:v>
      </x:c>
      <x:c r="K34" s="66" t="n">
        <x:f>IF(AND($C34&lt;=K$4+6,$D34&gt;=K$4),1,0)</x:f>
        <x:v>0</x:v>
      </x:c>
      <x:c r="L34" s="66" t="n">
        <x:f>IF(AND($C34&lt;=L$4+6,$D34&gt;=L$4),1,0)</x:f>
        <x:v>0</x:v>
      </x:c>
      <x:c r="M34" s="66" t="n">
        <x:f>IF(AND($C34&lt;=M$4+6,$D34&gt;=M$4),1,0)</x:f>
        <x:v>0</x:v>
      </x:c>
      <x:c r="N34" s="66" t="n">
        <x:f>IF(AND($C34&lt;=N$4+6,$D34&gt;=N$4),1,0)</x:f>
        <x:v>0</x:v>
      </x:c>
      <x:c r="O34" s="66" t="n">
        <x:f>IF(AND($C34&lt;=O$4+6,$D34&gt;=O$4),1,0)</x:f>
        <x:v>0</x:v>
      </x:c>
      <x:c r="P34" s="66" t="n">
        <x:f>IF(AND($C34&lt;=P$4+6,$D34&gt;=P$4),1,0)</x:f>
        <x:v>0</x:v>
      </x:c>
      <x:c r="Q34" s="66" t="n">
        <x:f>IF(AND($C34&lt;=Q$4+6,$D34&gt;=Q$4),1,0)</x:f>
        <x:v>1</x:v>
      </x:c>
      <x:c r="R34" s="66" t="n">
        <x:f>IF(AND($C34&lt;=R$4+6,$D34&gt;=R$4),1,0)</x:f>
        <x:v>1</x:v>
      </x:c>
      <x:c r="S34" s="66" t="n">
        <x:f>IF(AND($C34&lt;=S$4+6,$D34&gt;=S$4),1,0)</x:f>
        <x:v>0</x:v>
      </x:c>
      <x:c r="T34" s="66" t="n">
        <x:f>IF(AND($C34&lt;=T$4+6,$D34&gt;=T$4),1,0)</x:f>
        <x:v>0</x:v>
      </x:c>
      <x:c r="U34" s="66" t="n">
        <x:f>IF(AND($C34&lt;=U$4+6,$D34&gt;=U$4),1,0)</x:f>
        <x:v>0</x:v>
      </x:c>
      <x:c r="V34" s="66" t="n">
        <x:f>IF(AND($C34&lt;=V$4+6,$D34&gt;=V$4),1,0)</x:f>
        <x:v>0</x:v>
      </x:c>
      <x:c r="W34" s="66" t="n">
        <x:f>IF(AND($C34&lt;=W$4+6,$D34&gt;=W$4),1,0)</x:f>
        <x:v>0</x:v>
      </x:c>
      <x:c r="X34" s="66" t="n">
        <x:f>IF(AND($C34&lt;=X$4+6,$D34&gt;=X$4),1,0)</x:f>
        <x:v>0</x:v>
      </x:c>
      <x:c r="Y34" s="66" t="n">
        <x:f>IF(AND($C34&lt;=Y$4+6,$D34&gt;=Y$4),1,0)</x:f>
        <x:v>0</x:v>
      </x:c>
      <x:c r="Z34" s="66" t="n">
        <x:f>IF(AND($C34&lt;=Z$4+6,$D34&gt;=Z$4),1,0)</x:f>
        <x:v>0</x:v>
      </x:c>
      <x:c r="AA34" s="66" t="n">
        <x:f>IF(AND($C34&lt;=AA$4+6,$D34&gt;=AA$4),1,0)</x:f>
        <x:v>0</x:v>
      </x:c>
      <x:c r="AB34" s="66" t="n">
        <x:f>IF(AND($C34&lt;=AB$4+6,$D34&gt;=AB$4),1,0)</x:f>
        <x:v>0</x:v>
      </x:c>
      <x:c r="AC34" s="66" t="n">
        <x:f>IF(AND($C34&lt;=AC$4+6,$D34&gt;=AC$4),1,0)</x:f>
        <x:v>0</x:v>
      </x:c>
      <x:c r="AD34" s="66" t="n">
        <x:f>IF(AND($C34&lt;=AD$4+6,$D34&gt;=AD$4),1,0)</x:f>
        <x:v>0</x:v>
      </x:c>
      <x:c r="AE34" s="66" t="n">
        <x:f>IF(AND($C34&lt;=AE$4+6,$D34&gt;=AE$4),1,0)</x:f>
        <x:v>0</x:v>
      </x:c>
      <x:c r="AF34" s="66" t="n">
        <x:f>IF(AND($C34&lt;=AF$4+6,$D34&gt;=AF$4),1,0)</x:f>
        <x:v>0</x:v>
      </x:c>
      <x:c r="AG34" s="66" t="n">
        <x:f>IF(AND($C34&lt;=AG$4+6,$D34&gt;=AG$4),1,0)</x:f>
        <x:v>0</x:v>
      </x:c>
      <x:c r="AH34" s="66" t="n">
        <x:f>IF(AND($C34&lt;=AH$4+6,$D34&gt;=AH$4),1,0)</x:f>
        <x:v>0</x:v>
      </x:c>
    </x:row>
    <x:row r="35" ht="38" customHeight="1">
      <x:c r="A35" s="3" t="str">
        <x:v>P2-16</x:v>
      </x:c>
      <x:c r="B35" s="3" t="str">
        <x:v>2차 수정 여유·완료 인계</x:v>
      </x:c>
      <x:c r="C35" s="16" t="n">
        <x:f>'기능별 일정'!H35</x:f>
        <x:v>46372</x:v>
      </x:c>
      <x:c r="D35" s="16" t="n">
        <x:f>'기능별 일정'!I35</x:f>
        <x:v>46384</x:v>
      </x:c>
      <x:c r="E35" s="66" t="n">
        <x:f>IF(AND($C35&lt;=E$4+6,$D35&gt;=E$4),1,0)</x:f>
        <x:v>0</x:v>
      </x:c>
      <x:c r="F35" s="66" t="n">
        <x:f>IF(AND($C35&lt;=F$4+6,$D35&gt;=F$4),1,0)</x:f>
        <x:v>0</x:v>
      </x:c>
      <x:c r="G35" s="66" t="n">
        <x:f>IF(AND($C35&lt;=G$4+6,$D35&gt;=G$4),1,0)</x:f>
        <x:v>0</x:v>
      </x:c>
      <x:c r="H35" s="66" t="n">
        <x:f>IF(AND($C35&lt;=H$4+6,$D35&gt;=H$4),1,0)</x:f>
        <x:v>0</x:v>
      </x:c>
      <x:c r="I35" s="66" t="n">
        <x:f>IF(AND($C35&lt;=I$4+6,$D35&gt;=I$4),1,0)</x:f>
        <x:v>0</x:v>
      </x:c>
      <x:c r="J35" s="66" t="n">
        <x:f>IF(AND($C35&lt;=J$4+6,$D35&gt;=J$4),1,0)</x:f>
        <x:v>0</x:v>
      </x:c>
      <x:c r="K35" s="66" t="n">
        <x:f>IF(AND($C35&lt;=K$4+6,$D35&gt;=K$4),1,0)</x:f>
        <x:v>0</x:v>
      </x:c>
      <x:c r="L35" s="66" t="n">
        <x:f>IF(AND($C35&lt;=L$4+6,$D35&gt;=L$4),1,0)</x:f>
        <x:v>0</x:v>
      </x:c>
      <x:c r="M35" s="66" t="n">
        <x:f>IF(AND($C35&lt;=M$4+6,$D35&gt;=M$4),1,0)</x:f>
        <x:v>0</x:v>
      </x:c>
      <x:c r="N35" s="66" t="n">
        <x:f>IF(AND($C35&lt;=N$4+6,$D35&gt;=N$4),1,0)</x:f>
        <x:v>0</x:v>
      </x:c>
      <x:c r="O35" s="66" t="n">
        <x:f>IF(AND($C35&lt;=O$4+6,$D35&gt;=O$4),1,0)</x:f>
        <x:v>0</x:v>
      </x:c>
      <x:c r="P35" s="66" t="n">
        <x:f>IF(AND($C35&lt;=P$4+6,$D35&gt;=P$4),1,0)</x:f>
        <x:v>0</x:v>
      </x:c>
      <x:c r="Q35" s="66" t="n">
        <x:f>IF(AND($C35&lt;=Q$4+6,$D35&gt;=Q$4),1,0)</x:f>
        <x:v>0</x:v>
      </x:c>
      <x:c r="R35" s="66" t="n">
        <x:f>IF(AND($C35&lt;=R$4+6,$D35&gt;=R$4),1,0)</x:f>
        <x:v>1</x:v>
      </x:c>
      <x:c r="S35" s="66" t="n">
        <x:f>IF(AND($C35&lt;=S$4+6,$D35&gt;=S$4),1,0)</x:f>
        <x:v>1</x:v>
      </x:c>
      <x:c r="T35" s="66" t="n">
        <x:f>IF(AND($C35&lt;=T$4+6,$D35&gt;=T$4),1,0)</x:f>
        <x:v>1</x:v>
      </x:c>
      <x:c r="U35" s="66" t="n">
        <x:f>IF(AND($C35&lt;=U$4+6,$D35&gt;=U$4),1,0)</x:f>
        <x:v>0</x:v>
      </x:c>
      <x:c r="V35" s="66" t="n">
        <x:f>IF(AND($C35&lt;=V$4+6,$D35&gt;=V$4),1,0)</x:f>
        <x:v>0</x:v>
      </x:c>
      <x:c r="W35" s="66" t="n">
        <x:f>IF(AND($C35&lt;=W$4+6,$D35&gt;=W$4),1,0)</x:f>
        <x:v>0</x:v>
      </x:c>
      <x:c r="X35" s="66" t="n">
        <x:f>IF(AND($C35&lt;=X$4+6,$D35&gt;=X$4),1,0)</x:f>
        <x:v>0</x:v>
      </x:c>
      <x:c r="Y35" s="66" t="n">
        <x:f>IF(AND($C35&lt;=Y$4+6,$D35&gt;=Y$4),1,0)</x:f>
        <x:v>0</x:v>
      </x:c>
      <x:c r="Z35" s="66" t="n">
        <x:f>IF(AND($C35&lt;=Z$4+6,$D35&gt;=Z$4),1,0)</x:f>
        <x:v>0</x:v>
      </x:c>
      <x:c r="AA35" s="66" t="n">
        <x:f>IF(AND($C35&lt;=AA$4+6,$D35&gt;=AA$4),1,0)</x:f>
        <x:v>0</x:v>
      </x:c>
      <x:c r="AB35" s="66" t="n">
        <x:f>IF(AND($C35&lt;=AB$4+6,$D35&gt;=AB$4),1,0)</x:f>
        <x:v>0</x:v>
      </x:c>
      <x:c r="AC35" s="66" t="n">
        <x:f>IF(AND($C35&lt;=AC$4+6,$D35&gt;=AC$4),1,0)</x:f>
        <x:v>0</x:v>
      </x:c>
      <x:c r="AD35" s="66" t="n">
        <x:f>IF(AND($C35&lt;=AD$4+6,$D35&gt;=AD$4),1,0)</x:f>
        <x:v>0</x:v>
      </x:c>
      <x:c r="AE35" s="66" t="n">
        <x:f>IF(AND($C35&lt;=AE$4+6,$D35&gt;=AE$4),1,0)</x:f>
        <x:v>0</x:v>
      </x:c>
      <x:c r="AF35" s="66" t="n">
        <x:f>IF(AND($C35&lt;=AF$4+6,$D35&gt;=AF$4),1,0)</x:f>
        <x:v>0</x:v>
      </x:c>
      <x:c r="AG35" s="66" t="n">
        <x:f>IF(AND($C35&lt;=AG$4+6,$D35&gt;=AG$4),1,0)</x:f>
        <x:v>0</x:v>
      </x:c>
      <x:c r="AH35" s="66" t="n">
        <x:f>IF(AND($C35&lt;=AH$4+6,$D35&gt;=AH$4),1,0)</x:f>
        <x:v>0</x:v>
      </x:c>
    </x:row>
    <x:row r="36" ht="38" customHeight="1">
      <x:c r="A36" s="3" t="str">
        <x:v>P3-01</x:v>
      </x:c>
      <x:c r="B36" s="3" t="str">
        <x:v>AI 연결 계약·샘플 경계</x:v>
      </x:c>
      <x:c r="C36" s="16" t="n">
        <x:f>'기능별 일정'!H36</x:f>
        <x:v>46385</x:v>
      </x:c>
      <x:c r="D36" s="16" t="n">
        <x:f>'기능별 일정'!I36</x:f>
        <x:v>46386</x:v>
      </x:c>
      <x:c r="E36" s="66" t="n">
        <x:f>IF(AND($C36&lt;=E$4+6,$D36&gt;=E$4),1,0)</x:f>
        <x:v>0</x:v>
      </x:c>
      <x:c r="F36" s="66" t="n">
        <x:f>IF(AND($C36&lt;=F$4+6,$D36&gt;=F$4),1,0)</x:f>
        <x:v>0</x:v>
      </x:c>
      <x:c r="G36" s="66" t="n">
        <x:f>IF(AND($C36&lt;=G$4+6,$D36&gt;=G$4),1,0)</x:f>
        <x:v>0</x:v>
      </x:c>
      <x:c r="H36" s="66" t="n">
        <x:f>IF(AND($C36&lt;=H$4+6,$D36&gt;=H$4),1,0)</x:f>
        <x:v>0</x:v>
      </x:c>
      <x:c r="I36" s="66" t="n">
        <x:f>IF(AND($C36&lt;=I$4+6,$D36&gt;=I$4),1,0)</x:f>
        <x:v>0</x:v>
      </x:c>
      <x:c r="J36" s="66" t="n">
        <x:f>IF(AND($C36&lt;=J$4+6,$D36&gt;=J$4),1,0)</x:f>
        <x:v>0</x:v>
      </x:c>
      <x:c r="K36" s="66" t="n">
        <x:f>IF(AND($C36&lt;=K$4+6,$D36&gt;=K$4),1,0)</x:f>
        <x:v>0</x:v>
      </x:c>
      <x:c r="L36" s="66" t="n">
        <x:f>IF(AND($C36&lt;=L$4+6,$D36&gt;=L$4),1,0)</x:f>
        <x:v>0</x:v>
      </x:c>
      <x:c r="M36" s="66" t="n">
        <x:f>IF(AND($C36&lt;=M$4+6,$D36&gt;=M$4),1,0)</x:f>
        <x:v>0</x:v>
      </x:c>
      <x:c r="N36" s="66" t="n">
        <x:f>IF(AND($C36&lt;=N$4+6,$D36&gt;=N$4),1,0)</x:f>
        <x:v>0</x:v>
      </x:c>
      <x:c r="O36" s="66" t="n">
        <x:f>IF(AND($C36&lt;=O$4+6,$D36&gt;=O$4),1,0)</x:f>
        <x:v>0</x:v>
      </x:c>
      <x:c r="P36" s="66" t="n">
        <x:f>IF(AND($C36&lt;=P$4+6,$D36&gt;=P$4),1,0)</x:f>
        <x:v>0</x:v>
      </x:c>
      <x:c r="Q36" s="66" t="n">
        <x:f>IF(AND($C36&lt;=Q$4+6,$D36&gt;=Q$4),1,0)</x:f>
        <x:v>0</x:v>
      </x:c>
      <x:c r="R36" s="66" t="n">
        <x:f>IF(AND($C36&lt;=R$4+6,$D36&gt;=R$4),1,0)</x:f>
        <x:v>0</x:v>
      </x:c>
      <x:c r="S36" s="66" t="n">
        <x:f>IF(AND($C36&lt;=S$4+6,$D36&gt;=S$4),1,0)</x:f>
        <x:v>0</x:v>
      </x:c>
      <x:c r="T36" s="66" t="n">
        <x:f>IF(AND($C36&lt;=T$4+6,$D36&gt;=T$4),1,0)</x:f>
        <x:v>1</x:v>
      </x:c>
      <x:c r="U36" s="66" t="n">
        <x:f>IF(AND($C36&lt;=U$4+6,$D36&gt;=U$4),1,0)</x:f>
        <x:v>0</x:v>
      </x:c>
      <x:c r="V36" s="66" t="n">
        <x:f>IF(AND($C36&lt;=V$4+6,$D36&gt;=V$4),1,0)</x:f>
        <x:v>0</x:v>
      </x:c>
      <x:c r="W36" s="66" t="n">
        <x:f>IF(AND($C36&lt;=W$4+6,$D36&gt;=W$4),1,0)</x:f>
        <x:v>0</x:v>
      </x:c>
      <x:c r="X36" s="66" t="n">
        <x:f>IF(AND($C36&lt;=X$4+6,$D36&gt;=X$4),1,0)</x:f>
        <x:v>0</x:v>
      </x:c>
      <x:c r="Y36" s="66" t="n">
        <x:f>IF(AND($C36&lt;=Y$4+6,$D36&gt;=Y$4),1,0)</x:f>
        <x:v>0</x:v>
      </x:c>
      <x:c r="Z36" s="66" t="n">
        <x:f>IF(AND($C36&lt;=Z$4+6,$D36&gt;=Z$4),1,0)</x:f>
        <x:v>0</x:v>
      </x:c>
      <x:c r="AA36" s="66" t="n">
        <x:f>IF(AND($C36&lt;=AA$4+6,$D36&gt;=AA$4),1,0)</x:f>
        <x:v>0</x:v>
      </x:c>
      <x:c r="AB36" s="66" t="n">
        <x:f>IF(AND($C36&lt;=AB$4+6,$D36&gt;=AB$4),1,0)</x:f>
        <x:v>0</x:v>
      </x:c>
      <x:c r="AC36" s="66" t="n">
        <x:f>IF(AND($C36&lt;=AC$4+6,$D36&gt;=AC$4),1,0)</x:f>
        <x:v>0</x:v>
      </x:c>
      <x:c r="AD36" s="66" t="n">
        <x:f>IF(AND($C36&lt;=AD$4+6,$D36&gt;=AD$4),1,0)</x:f>
        <x:v>0</x:v>
      </x:c>
      <x:c r="AE36" s="66" t="n">
        <x:f>IF(AND($C36&lt;=AE$4+6,$D36&gt;=AE$4),1,0)</x:f>
        <x:v>0</x:v>
      </x:c>
      <x:c r="AF36" s="66" t="n">
        <x:f>IF(AND($C36&lt;=AF$4+6,$D36&gt;=AF$4),1,0)</x:f>
        <x:v>0</x:v>
      </x:c>
      <x:c r="AG36" s="66" t="n">
        <x:f>IF(AND($C36&lt;=AG$4+6,$D36&gt;=AG$4),1,0)</x:f>
        <x:v>0</x:v>
      </x:c>
      <x:c r="AH36" s="66" t="n">
        <x:f>IF(AND($C36&lt;=AH$4+6,$D36&gt;=AH$4),1,0)</x:f>
        <x:v>0</x:v>
      </x:c>
    </x:row>
    <x:row r="37" ht="38" customHeight="1">
      <x:c r="A37" s="3" t="str">
        <x:v>P3-02</x:v>
      </x:c>
      <x:c r="B37" s="3" t="str">
        <x:v>두 추천 모드·상세 조건 입력</x:v>
      </x:c>
      <x:c r="C37" s="16" t="n">
        <x:f>'기능별 일정'!H37</x:f>
        <x:v>46387</x:v>
      </x:c>
      <x:c r="D37" s="16" t="n">
        <x:f>'기능별 일정'!I37</x:f>
        <x:v>46391</x:v>
      </x:c>
      <x:c r="E37" s="66" t="n">
        <x:f>IF(AND($C37&lt;=E$4+6,$D37&gt;=E$4),1,0)</x:f>
        <x:v>0</x:v>
      </x:c>
      <x:c r="F37" s="66" t="n">
        <x:f>IF(AND($C37&lt;=F$4+6,$D37&gt;=F$4),1,0)</x:f>
        <x:v>0</x:v>
      </x:c>
      <x:c r="G37" s="66" t="n">
        <x:f>IF(AND($C37&lt;=G$4+6,$D37&gt;=G$4),1,0)</x:f>
        <x:v>0</x:v>
      </x:c>
      <x:c r="H37" s="66" t="n">
        <x:f>IF(AND($C37&lt;=H$4+6,$D37&gt;=H$4),1,0)</x:f>
        <x:v>0</x:v>
      </x:c>
      <x:c r="I37" s="66" t="n">
        <x:f>IF(AND($C37&lt;=I$4+6,$D37&gt;=I$4),1,0)</x:f>
        <x:v>0</x:v>
      </x:c>
      <x:c r="J37" s="66" t="n">
        <x:f>IF(AND($C37&lt;=J$4+6,$D37&gt;=J$4),1,0)</x:f>
        <x:v>0</x:v>
      </x:c>
      <x:c r="K37" s="66" t="n">
        <x:f>IF(AND($C37&lt;=K$4+6,$D37&gt;=K$4),1,0)</x:f>
        <x:v>0</x:v>
      </x:c>
      <x:c r="L37" s="66" t="n">
        <x:f>IF(AND($C37&lt;=L$4+6,$D37&gt;=L$4),1,0)</x:f>
        <x:v>0</x:v>
      </x:c>
      <x:c r="M37" s="66" t="n">
        <x:f>IF(AND($C37&lt;=M$4+6,$D37&gt;=M$4),1,0)</x:f>
        <x:v>0</x:v>
      </x:c>
      <x:c r="N37" s="66" t="n">
        <x:f>IF(AND($C37&lt;=N$4+6,$D37&gt;=N$4),1,0)</x:f>
        <x:v>0</x:v>
      </x:c>
      <x:c r="O37" s="66" t="n">
        <x:f>IF(AND($C37&lt;=O$4+6,$D37&gt;=O$4),1,0)</x:f>
        <x:v>0</x:v>
      </x:c>
      <x:c r="P37" s="66" t="n">
        <x:f>IF(AND($C37&lt;=P$4+6,$D37&gt;=P$4),1,0)</x:f>
        <x:v>0</x:v>
      </x:c>
      <x:c r="Q37" s="66" t="n">
        <x:f>IF(AND($C37&lt;=Q$4+6,$D37&gt;=Q$4),1,0)</x:f>
        <x:v>0</x:v>
      </x:c>
      <x:c r="R37" s="66" t="n">
        <x:f>IF(AND($C37&lt;=R$4+6,$D37&gt;=R$4),1,0)</x:f>
        <x:v>0</x:v>
      </x:c>
      <x:c r="S37" s="66" t="n">
        <x:f>IF(AND($C37&lt;=S$4+6,$D37&gt;=S$4),1,0)</x:f>
        <x:v>0</x:v>
      </x:c>
      <x:c r="T37" s="66" t="n">
        <x:f>IF(AND($C37&lt;=T$4+6,$D37&gt;=T$4),1,0)</x:f>
        <x:v>1</x:v>
      </x:c>
      <x:c r="U37" s="66" t="n">
        <x:f>IF(AND($C37&lt;=U$4+6,$D37&gt;=U$4),1,0)</x:f>
        <x:v>1</x:v>
      </x:c>
      <x:c r="V37" s="66" t="n">
        <x:f>IF(AND($C37&lt;=V$4+6,$D37&gt;=V$4),1,0)</x:f>
        <x:v>0</x:v>
      </x:c>
      <x:c r="W37" s="66" t="n">
        <x:f>IF(AND($C37&lt;=W$4+6,$D37&gt;=W$4),1,0)</x:f>
        <x:v>0</x:v>
      </x:c>
      <x:c r="X37" s="66" t="n">
        <x:f>IF(AND($C37&lt;=X$4+6,$D37&gt;=X$4),1,0)</x:f>
        <x:v>0</x:v>
      </x:c>
      <x:c r="Y37" s="66" t="n">
        <x:f>IF(AND($C37&lt;=Y$4+6,$D37&gt;=Y$4),1,0)</x:f>
        <x:v>0</x:v>
      </x:c>
      <x:c r="Z37" s="66" t="n">
        <x:f>IF(AND($C37&lt;=Z$4+6,$D37&gt;=Z$4),1,0)</x:f>
        <x:v>0</x:v>
      </x:c>
      <x:c r="AA37" s="66" t="n">
        <x:f>IF(AND($C37&lt;=AA$4+6,$D37&gt;=AA$4),1,0)</x:f>
        <x:v>0</x:v>
      </x:c>
      <x:c r="AB37" s="66" t="n">
        <x:f>IF(AND($C37&lt;=AB$4+6,$D37&gt;=AB$4),1,0)</x:f>
        <x:v>0</x:v>
      </x:c>
      <x:c r="AC37" s="66" t="n">
        <x:f>IF(AND($C37&lt;=AC$4+6,$D37&gt;=AC$4),1,0)</x:f>
        <x:v>0</x:v>
      </x:c>
      <x:c r="AD37" s="66" t="n">
        <x:f>IF(AND($C37&lt;=AD$4+6,$D37&gt;=AD$4),1,0)</x:f>
        <x:v>0</x:v>
      </x:c>
      <x:c r="AE37" s="66" t="n">
        <x:f>IF(AND($C37&lt;=AE$4+6,$D37&gt;=AE$4),1,0)</x:f>
        <x:v>0</x:v>
      </x:c>
      <x:c r="AF37" s="66" t="n">
        <x:f>IF(AND($C37&lt;=AF$4+6,$D37&gt;=AF$4),1,0)</x:f>
        <x:v>0</x:v>
      </x:c>
      <x:c r="AG37" s="66" t="n">
        <x:f>IF(AND($C37&lt;=AG$4+6,$D37&gt;=AG$4),1,0)</x:f>
        <x:v>0</x:v>
      </x:c>
      <x:c r="AH37" s="66" t="n">
        <x:f>IF(AND($C37&lt;=AH$4+6,$D37&gt;=AH$4),1,0)</x:f>
        <x:v>0</x:v>
      </x:c>
    </x:row>
    <x:row r="38" ht="38" customHeight="1">
      <x:c r="A38" s="3" t="str">
        <x:v>P3-03</x:v>
      </x:c>
      <x:c r="B38" s="3" t="str">
        <x:v>내부 랜드마크 후보·추천 근거</x:v>
      </x:c>
      <x:c r="C38" s="16" t="n">
        <x:f>'기능별 일정'!H38</x:f>
        <x:v>46392</x:v>
      </x:c>
      <x:c r="D38" s="16" t="n">
        <x:f>'기능별 일정'!I38</x:f>
        <x:v>46393</x:v>
      </x:c>
      <x:c r="E38" s="66" t="n">
        <x:f>IF(AND($C38&lt;=E$4+6,$D38&gt;=E$4),1,0)</x:f>
        <x:v>0</x:v>
      </x:c>
      <x:c r="F38" s="66" t="n">
        <x:f>IF(AND($C38&lt;=F$4+6,$D38&gt;=F$4),1,0)</x:f>
        <x:v>0</x:v>
      </x:c>
      <x:c r="G38" s="66" t="n">
        <x:f>IF(AND($C38&lt;=G$4+6,$D38&gt;=G$4),1,0)</x:f>
        <x:v>0</x:v>
      </x:c>
      <x:c r="H38" s="66" t="n">
        <x:f>IF(AND($C38&lt;=H$4+6,$D38&gt;=H$4),1,0)</x:f>
        <x:v>0</x:v>
      </x:c>
      <x:c r="I38" s="66" t="n">
        <x:f>IF(AND($C38&lt;=I$4+6,$D38&gt;=I$4),1,0)</x:f>
        <x:v>0</x:v>
      </x:c>
      <x:c r="J38" s="66" t="n">
        <x:f>IF(AND($C38&lt;=J$4+6,$D38&gt;=J$4),1,0)</x:f>
        <x:v>0</x:v>
      </x:c>
      <x:c r="K38" s="66" t="n">
        <x:f>IF(AND($C38&lt;=K$4+6,$D38&gt;=K$4),1,0)</x:f>
        <x:v>0</x:v>
      </x:c>
      <x:c r="L38" s="66" t="n">
        <x:f>IF(AND($C38&lt;=L$4+6,$D38&gt;=L$4),1,0)</x:f>
        <x:v>0</x:v>
      </x:c>
      <x:c r="M38" s="66" t="n">
        <x:f>IF(AND($C38&lt;=M$4+6,$D38&gt;=M$4),1,0)</x:f>
        <x:v>0</x:v>
      </x:c>
      <x:c r="N38" s="66" t="n">
        <x:f>IF(AND($C38&lt;=N$4+6,$D38&gt;=N$4),1,0)</x:f>
        <x:v>0</x:v>
      </x:c>
      <x:c r="O38" s="66" t="n">
        <x:f>IF(AND($C38&lt;=O$4+6,$D38&gt;=O$4),1,0)</x:f>
        <x:v>0</x:v>
      </x:c>
      <x:c r="P38" s="66" t="n">
        <x:f>IF(AND($C38&lt;=P$4+6,$D38&gt;=P$4),1,0)</x:f>
        <x:v>0</x:v>
      </x:c>
      <x:c r="Q38" s="66" t="n">
        <x:f>IF(AND($C38&lt;=Q$4+6,$D38&gt;=Q$4),1,0)</x:f>
        <x:v>0</x:v>
      </x:c>
      <x:c r="R38" s="66" t="n">
        <x:f>IF(AND($C38&lt;=R$4+6,$D38&gt;=R$4),1,0)</x:f>
        <x:v>0</x:v>
      </x:c>
      <x:c r="S38" s="66" t="n">
        <x:f>IF(AND($C38&lt;=S$4+6,$D38&gt;=S$4),1,0)</x:f>
        <x:v>0</x:v>
      </x:c>
      <x:c r="T38" s="66" t="n">
        <x:f>IF(AND($C38&lt;=T$4+6,$D38&gt;=T$4),1,0)</x:f>
        <x:v>0</x:v>
      </x:c>
      <x:c r="U38" s="66" t="n">
        <x:f>IF(AND($C38&lt;=U$4+6,$D38&gt;=U$4),1,0)</x:f>
        <x:v>1</x:v>
      </x:c>
      <x:c r="V38" s="66" t="n">
        <x:f>IF(AND($C38&lt;=V$4+6,$D38&gt;=V$4),1,0)</x:f>
        <x:v>0</x:v>
      </x:c>
      <x:c r="W38" s="66" t="n">
        <x:f>IF(AND($C38&lt;=W$4+6,$D38&gt;=W$4),1,0)</x:f>
        <x:v>0</x:v>
      </x:c>
      <x:c r="X38" s="66" t="n">
        <x:f>IF(AND($C38&lt;=X$4+6,$D38&gt;=X$4),1,0)</x:f>
        <x:v>0</x:v>
      </x:c>
      <x:c r="Y38" s="66" t="n">
        <x:f>IF(AND($C38&lt;=Y$4+6,$D38&gt;=Y$4),1,0)</x:f>
        <x:v>0</x:v>
      </x:c>
      <x:c r="Z38" s="66" t="n">
        <x:f>IF(AND($C38&lt;=Z$4+6,$D38&gt;=Z$4),1,0)</x:f>
        <x:v>0</x:v>
      </x:c>
      <x:c r="AA38" s="66" t="n">
        <x:f>IF(AND($C38&lt;=AA$4+6,$D38&gt;=AA$4),1,0)</x:f>
        <x:v>0</x:v>
      </x:c>
      <x:c r="AB38" s="66" t="n">
        <x:f>IF(AND($C38&lt;=AB$4+6,$D38&gt;=AB$4),1,0)</x:f>
        <x:v>0</x:v>
      </x:c>
      <x:c r="AC38" s="66" t="n">
        <x:f>IF(AND($C38&lt;=AC$4+6,$D38&gt;=AC$4),1,0)</x:f>
        <x:v>0</x:v>
      </x:c>
      <x:c r="AD38" s="66" t="n">
        <x:f>IF(AND($C38&lt;=AD$4+6,$D38&gt;=AD$4),1,0)</x:f>
        <x:v>0</x:v>
      </x:c>
      <x:c r="AE38" s="66" t="n">
        <x:f>IF(AND($C38&lt;=AE$4+6,$D38&gt;=AE$4),1,0)</x:f>
        <x:v>0</x:v>
      </x:c>
      <x:c r="AF38" s="66" t="n">
        <x:f>IF(AND($C38&lt;=AF$4+6,$D38&gt;=AF$4),1,0)</x:f>
        <x:v>0</x:v>
      </x:c>
      <x:c r="AG38" s="66" t="n">
        <x:f>IF(AND($C38&lt;=AG$4+6,$D38&gt;=AG$4),1,0)</x:f>
        <x:v>0</x:v>
      </x:c>
      <x:c r="AH38" s="66" t="n">
        <x:f>IF(AND($C38&lt;=AH$4+6,$D38&gt;=AH$4),1,0)</x:f>
        <x:v>0</x:v>
      </x:c>
    </x:row>
    <x:row r="39" ht="38" customHeight="1">
      <x:c r="A39" s="3" t="str">
        <x:v>P3-04</x:v>
      </x:c>
      <x:c r="B39" s="3" t="str">
        <x:v>음식점·숙소 보완 후보 승인</x:v>
      </x:c>
      <x:c r="C39" s="16" t="n">
        <x:f>'기능별 일정'!H39</x:f>
        <x:v>46394</x:v>
      </x:c>
      <x:c r="D39" s="16" t="n">
        <x:f>'기능별 일정'!I39</x:f>
        <x:v>46395</x:v>
      </x:c>
      <x:c r="E39" s="66" t="n">
        <x:f>IF(AND($C39&lt;=E$4+6,$D39&gt;=E$4),1,0)</x:f>
        <x:v>0</x:v>
      </x:c>
      <x:c r="F39" s="66" t="n">
        <x:f>IF(AND($C39&lt;=F$4+6,$D39&gt;=F$4),1,0)</x:f>
        <x:v>0</x:v>
      </x:c>
      <x:c r="G39" s="66" t="n">
        <x:f>IF(AND($C39&lt;=G$4+6,$D39&gt;=G$4),1,0)</x:f>
        <x:v>0</x:v>
      </x:c>
      <x:c r="H39" s="66" t="n">
        <x:f>IF(AND($C39&lt;=H$4+6,$D39&gt;=H$4),1,0)</x:f>
        <x:v>0</x:v>
      </x:c>
      <x:c r="I39" s="66" t="n">
        <x:f>IF(AND($C39&lt;=I$4+6,$D39&gt;=I$4),1,0)</x:f>
        <x:v>0</x:v>
      </x:c>
      <x:c r="J39" s="66" t="n">
        <x:f>IF(AND($C39&lt;=J$4+6,$D39&gt;=J$4),1,0)</x:f>
        <x:v>0</x:v>
      </x:c>
      <x:c r="K39" s="66" t="n">
        <x:f>IF(AND($C39&lt;=K$4+6,$D39&gt;=K$4),1,0)</x:f>
        <x:v>0</x:v>
      </x:c>
      <x:c r="L39" s="66" t="n">
        <x:f>IF(AND($C39&lt;=L$4+6,$D39&gt;=L$4),1,0)</x:f>
        <x:v>0</x:v>
      </x:c>
      <x:c r="M39" s="66" t="n">
        <x:f>IF(AND($C39&lt;=M$4+6,$D39&gt;=M$4),1,0)</x:f>
        <x:v>0</x:v>
      </x:c>
      <x:c r="N39" s="66" t="n">
        <x:f>IF(AND($C39&lt;=N$4+6,$D39&gt;=N$4),1,0)</x:f>
        <x:v>0</x:v>
      </x:c>
      <x:c r="O39" s="66" t="n">
        <x:f>IF(AND($C39&lt;=O$4+6,$D39&gt;=O$4),1,0)</x:f>
        <x:v>0</x:v>
      </x:c>
      <x:c r="P39" s="66" t="n">
        <x:f>IF(AND($C39&lt;=P$4+6,$D39&gt;=P$4),1,0)</x:f>
        <x:v>0</x:v>
      </x:c>
      <x:c r="Q39" s="66" t="n">
        <x:f>IF(AND($C39&lt;=Q$4+6,$D39&gt;=Q$4),1,0)</x:f>
        <x:v>0</x:v>
      </x:c>
      <x:c r="R39" s="66" t="n">
        <x:f>IF(AND($C39&lt;=R$4+6,$D39&gt;=R$4),1,0)</x:f>
        <x:v>0</x:v>
      </x:c>
      <x:c r="S39" s="66" t="n">
        <x:f>IF(AND($C39&lt;=S$4+6,$D39&gt;=S$4),1,0)</x:f>
        <x:v>0</x:v>
      </x:c>
      <x:c r="T39" s="66" t="n">
        <x:f>IF(AND($C39&lt;=T$4+6,$D39&gt;=T$4),1,0)</x:f>
        <x:v>0</x:v>
      </x:c>
      <x:c r="U39" s="66" t="n">
        <x:f>IF(AND($C39&lt;=U$4+6,$D39&gt;=U$4),1,0)</x:f>
        <x:v>1</x:v>
      </x:c>
      <x:c r="V39" s="66" t="n">
        <x:f>IF(AND($C39&lt;=V$4+6,$D39&gt;=V$4),1,0)</x:f>
        <x:v>0</x:v>
      </x:c>
      <x:c r="W39" s="66" t="n">
        <x:f>IF(AND($C39&lt;=W$4+6,$D39&gt;=W$4),1,0)</x:f>
        <x:v>0</x:v>
      </x:c>
      <x:c r="X39" s="66" t="n">
        <x:f>IF(AND($C39&lt;=X$4+6,$D39&gt;=X$4),1,0)</x:f>
        <x:v>0</x:v>
      </x:c>
      <x:c r="Y39" s="66" t="n">
        <x:f>IF(AND($C39&lt;=Y$4+6,$D39&gt;=Y$4),1,0)</x:f>
        <x:v>0</x:v>
      </x:c>
      <x:c r="Z39" s="66" t="n">
        <x:f>IF(AND($C39&lt;=Z$4+6,$D39&gt;=Z$4),1,0)</x:f>
        <x:v>0</x:v>
      </x:c>
      <x:c r="AA39" s="66" t="n">
        <x:f>IF(AND($C39&lt;=AA$4+6,$D39&gt;=AA$4),1,0)</x:f>
        <x:v>0</x:v>
      </x:c>
      <x:c r="AB39" s="66" t="n">
        <x:f>IF(AND($C39&lt;=AB$4+6,$D39&gt;=AB$4),1,0)</x:f>
        <x:v>0</x:v>
      </x:c>
      <x:c r="AC39" s="66" t="n">
        <x:f>IF(AND($C39&lt;=AC$4+6,$D39&gt;=AC$4),1,0)</x:f>
        <x:v>0</x:v>
      </x:c>
      <x:c r="AD39" s="66" t="n">
        <x:f>IF(AND($C39&lt;=AD$4+6,$D39&gt;=AD$4),1,0)</x:f>
        <x:v>0</x:v>
      </x:c>
      <x:c r="AE39" s="66" t="n">
        <x:f>IF(AND($C39&lt;=AE$4+6,$D39&gt;=AE$4),1,0)</x:f>
        <x:v>0</x:v>
      </x:c>
      <x:c r="AF39" s="66" t="n">
        <x:f>IF(AND($C39&lt;=AF$4+6,$D39&gt;=AF$4),1,0)</x:f>
        <x:v>0</x:v>
      </x:c>
      <x:c r="AG39" s="66" t="n">
        <x:f>IF(AND($C39&lt;=AG$4+6,$D39&gt;=AG$4),1,0)</x:f>
        <x:v>0</x:v>
      </x:c>
      <x:c r="AH39" s="66" t="n">
        <x:f>IF(AND($C39&lt;=AH$4+6,$D39&gt;=AH$4),1,0)</x:f>
        <x:v>0</x:v>
      </x:c>
    </x:row>
    <x:row r="40" ht="38" customHeight="1">
      <x:c r="A40" s="3" t="str">
        <x:v>P3-05</x:v>
      </x:c>
      <x:c r="B40" s="3" t="str">
        <x:v>DAY 결과·이동·미배치 설명</x:v>
      </x:c>
      <x:c r="C40" s="16" t="n">
        <x:f>'기능별 일정'!H40</x:f>
        <x:v>46398</x:v>
      </x:c>
      <x:c r="D40" s="16" t="n">
        <x:f>'기능별 일정'!I40</x:f>
        <x:v>46399</x:v>
      </x:c>
      <x:c r="E40" s="66" t="n">
        <x:f>IF(AND($C40&lt;=E$4+6,$D40&gt;=E$4),1,0)</x:f>
        <x:v>0</x:v>
      </x:c>
      <x:c r="F40" s="66" t="n">
        <x:f>IF(AND($C40&lt;=F$4+6,$D40&gt;=F$4),1,0)</x:f>
        <x:v>0</x:v>
      </x:c>
      <x:c r="G40" s="66" t="n">
        <x:f>IF(AND($C40&lt;=G$4+6,$D40&gt;=G$4),1,0)</x:f>
        <x:v>0</x:v>
      </x:c>
      <x:c r="H40" s="66" t="n">
        <x:f>IF(AND($C40&lt;=H$4+6,$D40&gt;=H$4),1,0)</x:f>
        <x:v>0</x:v>
      </x:c>
      <x:c r="I40" s="66" t="n">
        <x:f>IF(AND($C40&lt;=I$4+6,$D40&gt;=I$4),1,0)</x:f>
        <x:v>0</x:v>
      </x:c>
      <x:c r="J40" s="66" t="n">
        <x:f>IF(AND($C40&lt;=J$4+6,$D40&gt;=J$4),1,0)</x:f>
        <x:v>0</x:v>
      </x:c>
      <x:c r="K40" s="66" t="n">
        <x:f>IF(AND($C40&lt;=K$4+6,$D40&gt;=K$4),1,0)</x:f>
        <x:v>0</x:v>
      </x:c>
      <x:c r="L40" s="66" t="n">
        <x:f>IF(AND($C40&lt;=L$4+6,$D40&gt;=L$4),1,0)</x:f>
        <x:v>0</x:v>
      </x:c>
      <x:c r="M40" s="66" t="n">
        <x:f>IF(AND($C40&lt;=M$4+6,$D40&gt;=M$4),1,0)</x:f>
        <x:v>0</x:v>
      </x:c>
      <x:c r="N40" s="66" t="n">
        <x:f>IF(AND($C40&lt;=N$4+6,$D40&gt;=N$4),1,0)</x:f>
        <x:v>0</x:v>
      </x:c>
      <x:c r="O40" s="66" t="n">
        <x:f>IF(AND($C40&lt;=O$4+6,$D40&gt;=O$4),1,0)</x:f>
        <x:v>0</x:v>
      </x:c>
      <x:c r="P40" s="66" t="n">
        <x:f>IF(AND($C40&lt;=P$4+6,$D40&gt;=P$4),1,0)</x:f>
        <x:v>0</x:v>
      </x:c>
      <x:c r="Q40" s="66" t="n">
        <x:f>IF(AND($C40&lt;=Q$4+6,$D40&gt;=Q$4),1,0)</x:f>
        <x:v>0</x:v>
      </x:c>
      <x:c r="R40" s="66" t="n">
        <x:f>IF(AND($C40&lt;=R$4+6,$D40&gt;=R$4),1,0)</x:f>
        <x:v>0</x:v>
      </x:c>
      <x:c r="S40" s="66" t="n">
        <x:f>IF(AND($C40&lt;=S$4+6,$D40&gt;=S$4),1,0)</x:f>
        <x:v>0</x:v>
      </x:c>
      <x:c r="T40" s="66" t="n">
        <x:f>IF(AND($C40&lt;=T$4+6,$D40&gt;=T$4),1,0)</x:f>
        <x:v>0</x:v>
      </x:c>
      <x:c r="U40" s="66" t="n">
        <x:f>IF(AND($C40&lt;=U$4+6,$D40&gt;=U$4),1,0)</x:f>
        <x:v>0</x:v>
      </x:c>
      <x:c r="V40" s="66" t="n">
        <x:f>IF(AND($C40&lt;=V$4+6,$D40&gt;=V$4),1,0)</x:f>
        <x:v>1</x:v>
      </x:c>
      <x:c r="W40" s="66" t="n">
        <x:f>IF(AND($C40&lt;=W$4+6,$D40&gt;=W$4),1,0)</x:f>
        <x:v>0</x:v>
      </x:c>
      <x:c r="X40" s="66" t="n">
        <x:f>IF(AND($C40&lt;=X$4+6,$D40&gt;=X$4),1,0)</x:f>
        <x:v>0</x:v>
      </x:c>
      <x:c r="Y40" s="66" t="n">
        <x:f>IF(AND($C40&lt;=Y$4+6,$D40&gt;=Y$4),1,0)</x:f>
        <x:v>0</x:v>
      </x:c>
      <x:c r="Z40" s="66" t="n">
        <x:f>IF(AND($C40&lt;=Z$4+6,$D40&gt;=Z$4),1,0)</x:f>
        <x:v>0</x:v>
      </x:c>
      <x:c r="AA40" s="66" t="n">
        <x:f>IF(AND($C40&lt;=AA$4+6,$D40&gt;=AA$4),1,0)</x:f>
        <x:v>0</x:v>
      </x:c>
      <x:c r="AB40" s="66" t="n">
        <x:f>IF(AND($C40&lt;=AB$4+6,$D40&gt;=AB$4),1,0)</x:f>
        <x:v>0</x:v>
      </x:c>
      <x:c r="AC40" s="66" t="n">
        <x:f>IF(AND($C40&lt;=AC$4+6,$D40&gt;=AC$4),1,0)</x:f>
        <x:v>0</x:v>
      </x:c>
      <x:c r="AD40" s="66" t="n">
        <x:f>IF(AND($C40&lt;=AD$4+6,$D40&gt;=AD$4),1,0)</x:f>
        <x:v>0</x:v>
      </x:c>
      <x:c r="AE40" s="66" t="n">
        <x:f>IF(AND($C40&lt;=AE$4+6,$D40&gt;=AE$4),1,0)</x:f>
        <x:v>0</x:v>
      </x:c>
      <x:c r="AF40" s="66" t="n">
        <x:f>IF(AND($C40&lt;=AF$4+6,$D40&gt;=AF$4),1,0)</x:f>
        <x:v>0</x:v>
      </x:c>
      <x:c r="AG40" s="66" t="n">
        <x:f>IF(AND($C40&lt;=AG$4+6,$D40&gt;=AG$4),1,0)</x:f>
        <x:v>0</x:v>
      </x:c>
      <x:c r="AH40" s="66" t="n">
        <x:f>IF(AND($C40&lt;=AH$4+6,$D40&gt;=AH$4),1,0)</x:f>
        <x:v>0</x:v>
      </x:c>
    </x:row>
    <x:row r="41" ht="38" customHeight="1">
      <x:c r="A41" s="3" t="str">
        <x:v>P3-06</x:v>
      </x:c>
      <x:c r="B41" s="3" t="str">
        <x:v>부분 재생성·고정 일정·변경 비교</x:v>
      </x:c>
      <x:c r="C41" s="16" t="n">
        <x:f>'기능별 일정'!H41</x:f>
        <x:v>46400</x:v>
      </x:c>
      <x:c r="D41" s="16" t="n">
        <x:f>'기능별 일정'!I41</x:f>
        <x:v>46402</x:v>
      </x:c>
      <x:c r="E41" s="66" t="n">
        <x:f>IF(AND($C41&lt;=E$4+6,$D41&gt;=E$4),1,0)</x:f>
        <x:v>0</x:v>
      </x:c>
      <x:c r="F41" s="66" t="n">
        <x:f>IF(AND($C41&lt;=F$4+6,$D41&gt;=F$4),1,0)</x:f>
        <x:v>0</x:v>
      </x:c>
      <x:c r="G41" s="66" t="n">
        <x:f>IF(AND($C41&lt;=G$4+6,$D41&gt;=G$4),1,0)</x:f>
        <x:v>0</x:v>
      </x:c>
      <x:c r="H41" s="66" t="n">
        <x:f>IF(AND($C41&lt;=H$4+6,$D41&gt;=H$4),1,0)</x:f>
        <x:v>0</x:v>
      </x:c>
      <x:c r="I41" s="66" t="n">
        <x:f>IF(AND($C41&lt;=I$4+6,$D41&gt;=I$4),1,0)</x:f>
        <x:v>0</x:v>
      </x:c>
      <x:c r="J41" s="66" t="n">
        <x:f>IF(AND($C41&lt;=J$4+6,$D41&gt;=J$4),1,0)</x:f>
        <x:v>0</x:v>
      </x:c>
      <x:c r="K41" s="66" t="n">
        <x:f>IF(AND($C41&lt;=K$4+6,$D41&gt;=K$4),1,0)</x:f>
        <x:v>0</x:v>
      </x:c>
      <x:c r="L41" s="66" t="n">
        <x:f>IF(AND($C41&lt;=L$4+6,$D41&gt;=L$4),1,0)</x:f>
        <x:v>0</x:v>
      </x:c>
      <x:c r="M41" s="66" t="n">
        <x:f>IF(AND($C41&lt;=M$4+6,$D41&gt;=M$4),1,0)</x:f>
        <x:v>0</x:v>
      </x:c>
      <x:c r="N41" s="66" t="n">
        <x:f>IF(AND($C41&lt;=N$4+6,$D41&gt;=N$4),1,0)</x:f>
        <x:v>0</x:v>
      </x:c>
      <x:c r="O41" s="66" t="n">
        <x:f>IF(AND($C41&lt;=O$4+6,$D41&gt;=O$4),1,0)</x:f>
        <x:v>0</x:v>
      </x:c>
      <x:c r="P41" s="66" t="n">
        <x:f>IF(AND($C41&lt;=P$4+6,$D41&gt;=P$4),1,0)</x:f>
        <x:v>0</x:v>
      </x:c>
      <x:c r="Q41" s="66" t="n">
        <x:f>IF(AND($C41&lt;=Q$4+6,$D41&gt;=Q$4),1,0)</x:f>
        <x:v>0</x:v>
      </x:c>
      <x:c r="R41" s="66" t="n">
        <x:f>IF(AND($C41&lt;=R$4+6,$D41&gt;=R$4),1,0)</x:f>
        <x:v>0</x:v>
      </x:c>
      <x:c r="S41" s="66" t="n">
        <x:f>IF(AND($C41&lt;=S$4+6,$D41&gt;=S$4),1,0)</x:f>
        <x:v>0</x:v>
      </x:c>
      <x:c r="T41" s="66" t="n">
        <x:f>IF(AND($C41&lt;=T$4+6,$D41&gt;=T$4),1,0)</x:f>
        <x:v>0</x:v>
      </x:c>
      <x:c r="U41" s="66" t="n">
        <x:f>IF(AND($C41&lt;=U$4+6,$D41&gt;=U$4),1,0)</x:f>
        <x:v>0</x:v>
      </x:c>
      <x:c r="V41" s="66" t="n">
        <x:f>IF(AND($C41&lt;=V$4+6,$D41&gt;=V$4),1,0)</x:f>
        <x:v>1</x:v>
      </x:c>
      <x:c r="W41" s="66" t="n">
        <x:f>IF(AND($C41&lt;=W$4+6,$D41&gt;=W$4),1,0)</x:f>
        <x:v>0</x:v>
      </x:c>
      <x:c r="X41" s="66" t="n">
        <x:f>IF(AND($C41&lt;=X$4+6,$D41&gt;=X$4),1,0)</x:f>
        <x:v>0</x:v>
      </x:c>
      <x:c r="Y41" s="66" t="n">
        <x:f>IF(AND($C41&lt;=Y$4+6,$D41&gt;=Y$4),1,0)</x:f>
        <x:v>0</x:v>
      </x:c>
      <x:c r="Z41" s="66" t="n">
        <x:f>IF(AND($C41&lt;=Z$4+6,$D41&gt;=Z$4),1,0)</x:f>
        <x:v>0</x:v>
      </x:c>
      <x:c r="AA41" s="66" t="n">
        <x:f>IF(AND($C41&lt;=AA$4+6,$D41&gt;=AA$4),1,0)</x:f>
        <x:v>0</x:v>
      </x:c>
      <x:c r="AB41" s="66" t="n">
        <x:f>IF(AND($C41&lt;=AB$4+6,$D41&gt;=AB$4),1,0)</x:f>
        <x:v>0</x:v>
      </x:c>
      <x:c r="AC41" s="66" t="n">
        <x:f>IF(AND($C41&lt;=AC$4+6,$D41&gt;=AC$4),1,0)</x:f>
        <x:v>0</x:v>
      </x:c>
      <x:c r="AD41" s="66" t="n">
        <x:f>IF(AND($C41&lt;=AD$4+6,$D41&gt;=AD$4),1,0)</x:f>
        <x:v>0</x:v>
      </x:c>
      <x:c r="AE41" s="66" t="n">
        <x:f>IF(AND($C41&lt;=AE$4+6,$D41&gt;=AE$4),1,0)</x:f>
        <x:v>0</x:v>
      </x:c>
      <x:c r="AF41" s="66" t="n">
        <x:f>IF(AND($C41&lt;=AF$4+6,$D41&gt;=AF$4),1,0)</x:f>
        <x:v>0</x:v>
      </x:c>
      <x:c r="AG41" s="66" t="n">
        <x:f>IF(AND($C41&lt;=AG$4+6,$D41&gt;=AG$4),1,0)</x:f>
        <x:v>0</x:v>
      </x:c>
      <x:c r="AH41" s="66" t="n">
        <x:f>IF(AND($C41&lt;=AH$4+6,$D41&gt;=AH$4),1,0)</x:f>
        <x:v>0</x:v>
      </x:c>
    </x:row>
    <x:row r="42" ht="38" customHeight="1">
      <x:c r="A42" s="3" t="str">
        <x:v>P3-07</x:v>
      </x:c>
      <x:c r="B42" s="3" t="str">
        <x:v>여행 중 텍스트 관광 안내</x:v>
      </x:c>
      <x:c r="C42" s="16" t="n">
        <x:f>'기능별 일정'!H42</x:f>
        <x:v>46405</x:v>
      </x:c>
      <x:c r="D42" s="16" t="n">
        <x:f>'기능별 일정'!I42</x:f>
        <x:v>46406</x:v>
      </x:c>
      <x:c r="E42" s="66" t="n">
        <x:f>IF(AND($C42&lt;=E$4+6,$D42&gt;=E$4),1,0)</x:f>
        <x:v>0</x:v>
      </x:c>
      <x:c r="F42" s="66" t="n">
        <x:f>IF(AND($C42&lt;=F$4+6,$D42&gt;=F$4),1,0)</x:f>
        <x:v>0</x:v>
      </x:c>
      <x:c r="G42" s="66" t="n">
        <x:f>IF(AND($C42&lt;=G$4+6,$D42&gt;=G$4),1,0)</x:f>
        <x:v>0</x:v>
      </x:c>
      <x:c r="H42" s="66" t="n">
        <x:f>IF(AND($C42&lt;=H$4+6,$D42&gt;=H$4),1,0)</x:f>
        <x:v>0</x:v>
      </x:c>
      <x:c r="I42" s="66" t="n">
        <x:f>IF(AND($C42&lt;=I$4+6,$D42&gt;=I$4),1,0)</x:f>
        <x:v>0</x:v>
      </x:c>
      <x:c r="J42" s="66" t="n">
        <x:f>IF(AND($C42&lt;=J$4+6,$D42&gt;=J$4),1,0)</x:f>
        <x:v>0</x:v>
      </x:c>
      <x:c r="K42" s="66" t="n">
        <x:f>IF(AND($C42&lt;=K$4+6,$D42&gt;=K$4),1,0)</x:f>
        <x:v>0</x:v>
      </x:c>
      <x:c r="L42" s="66" t="n">
        <x:f>IF(AND($C42&lt;=L$4+6,$D42&gt;=L$4),1,0)</x:f>
        <x:v>0</x:v>
      </x:c>
      <x:c r="M42" s="66" t="n">
        <x:f>IF(AND($C42&lt;=M$4+6,$D42&gt;=M$4),1,0)</x:f>
        <x:v>0</x:v>
      </x:c>
      <x:c r="N42" s="66" t="n">
        <x:f>IF(AND($C42&lt;=N$4+6,$D42&gt;=N$4),1,0)</x:f>
        <x:v>0</x:v>
      </x:c>
      <x:c r="O42" s="66" t="n">
        <x:f>IF(AND($C42&lt;=O$4+6,$D42&gt;=O$4),1,0)</x:f>
        <x:v>0</x:v>
      </x:c>
      <x:c r="P42" s="66" t="n">
        <x:f>IF(AND($C42&lt;=P$4+6,$D42&gt;=P$4),1,0)</x:f>
        <x:v>0</x:v>
      </x:c>
      <x:c r="Q42" s="66" t="n">
        <x:f>IF(AND($C42&lt;=Q$4+6,$D42&gt;=Q$4),1,0)</x:f>
        <x:v>0</x:v>
      </x:c>
      <x:c r="R42" s="66" t="n">
        <x:f>IF(AND($C42&lt;=R$4+6,$D42&gt;=R$4),1,0)</x:f>
        <x:v>0</x:v>
      </x:c>
      <x:c r="S42" s="66" t="n">
        <x:f>IF(AND($C42&lt;=S$4+6,$D42&gt;=S$4),1,0)</x:f>
        <x:v>0</x:v>
      </x:c>
      <x:c r="T42" s="66" t="n">
        <x:f>IF(AND($C42&lt;=T$4+6,$D42&gt;=T$4),1,0)</x:f>
        <x:v>0</x:v>
      </x:c>
      <x:c r="U42" s="66" t="n">
        <x:f>IF(AND($C42&lt;=U$4+6,$D42&gt;=U$4),1,0)</x:f>
        <x:v>0</x:v>
      </x:c>
      <x:c r="V42" s="66" t="n">
        <x:f>IF(AND($C42&lt;=V$4+6,$D42&gt;=V$4),1,0)</x:f>
        <x:v>0</x:v>
      </x:c>
      <x:c r="W42" s="66" t="n">
        <x:f>IF(AND($C42&lt;=W$4+6,$D42&gt;=W$4),1,0)</x:f>
        <x:v>1</x:v>
      </x:c>
      <x:c r="X42" s="66" t="n">
        <x:f>IF(AND($C42&lt;=X$4+6,$D42&gt;=X$4),1,0)</x:f>
        <x:v>0</x:v>
      </x:c>
      <x:c r="Y42" s="66" t="n">
        <x:f>IF(AND($C42&lt;=Y$4+6,$D42&gt;=Y$4),1,0)</x:f>
        <x:v>0</x:v>
      </x:c>
      <x:c r="Z42" s="66" t="n">
        <x:f>IF(AND($C42&lt;=Z$4+6,$D42&gt;=Z$4),1,0)</x:f>
        <x:v>0</x:v>
      </x:c>
      <x:c r="AA42" s="66" t="n">
        <x:f>IF(AND($C42&lt;=AA$4+6,$D42&gt;=AA$4),1,0)</x:f>
        <x:v>0</x:v>
      </x:c>
      <x:c r="AB42" s="66" t="n">
        <x:f>IF(AND($C42&lt;=AB$4+6,$D42&gt;=AB$4),1,0)</x:f>
        <x:v>0</x:v>
      </x:c>
      <x:c r="AC42" s="66" t="n">
        <x:f>IF(AND($C42&lt;=AC$4+6,$D42&gt;=AC$4),1,0)</x:f>
        <x:v>0</x:v>
      </x:c>
      <x:c r="AD42" s="66" t="n">
        <x:f>IF(AND($C42&lt;=AD$4+6,$D42&gt;=AD$4),1,0)</x:f>
        <x:v>0</x:v>
      </x:c>
      <x:c r="AE42" s="66" t="n">
        <x:f>IF(AND($C42&lt;=AE$4+6,$D42&gt;=AE$4),1,0)</x:f>
        <x:v>0</x:v>
      </x:c>
      <x:c r="AF42" s="66" t="n">
        <x:f>IF(AND($C42&lt;=AF$4+6,$D42&gt;=AF$4),1,0)</x:f>
        <x:v>0</x:v>
      </x:c>
      <x:c r="AG42" s="66" t="n">
        <x:f>IF(AND($C42&lt;=AG$4+6,$D42&gt;=AG$4),1,0)</x:f>
        <x:v>0</x:v>
      </x:c>
      <x:c r="AH42" s="66" t="n">
        <x:f>IF(AND($C42&lt;=AH$4+6,$D42&gt;=AH$4),1,0)</x:f>
        <x:v>0</x:v>
      </x:c>
    </x:row>
    <x:row r="43" ht="38" customHeight="1">
      <x:c r="A43" s="3" t="str">
        <x:v>P3-08</x:v>
      </x:c>
      <x:c r="B43" s="3" t="str">
        <x:v>한국어·영어 UI와 한글 주소</x:v>
      </x:c>
      <x:c r="C43" s="16" t="n">
        <x:f>'기능별 일정'!H43</x:f>
        <x:v>46407</x:v>
      </x:c>
      <x:c r="D43" s="16" t="n">
        <x:f>'기능별 일정'!I43</x:f>
        <x:v>46408</x:v>
      </x:c>
      <x:c r="E43" s="66" t="n">
        <x:f>IF(AND($C43&lt;=E$4+6,$D43&gt;=E$4),1,0)</x:f>
        <x:v>0</x:v>
      </x:c>
      <x:c r="F43" s="66" t="n">
        <x:f>IF(AND($C43&lt;=F$4+6,$D43&gt;=F$4),1,0)</x:f>
        <x:v>0</x:v>
      </x:c>
      <x:c r="G43" s="66" t="n">
        <x:f>IF(AND($C43&lt;=G$4+6,$D43&gt;=G$4),1,0)</x:f>
        <x:v>0</x:v>
      </x:c>
      <x:c r="H43" s="66" t="n">
        <x:f>IF(AND($C43&lt;=H$4+6,$D43&gt;=H$4),1,0)</x:f>
        <x:v>0</x:v>
      </x:c>
      <x:c r="I43" s="66" t="n">
        <x:f>IF(AND($C43&lt;=I$4+6,$D43&gt;=I$4),1,0)</x:f>
        <x:v>0</x:v>
      </x:c>
      <x:c r="J43" s="66" t="n">
        <x:f>IF(AND($C43&lt;=J$4+6,$D43&gt;=J$4),1,0)</x:f>
        <x:v>0</x:v>
      </x:c>
      <x:c r="K43" s="66" t="n">
        <x:f>IF(AND($C43&lt;=K$4+6,$D43&gt;=K$4),1,0)</x:f>
        <x:v>0</x:v>
      </x:c>
      <x:c r="L43" s="66" t="n">
        <x:f>IF(AND($C43&lt;=L$4+6,$D43&gt;=L$4),1,0)</x:f>
        <x:v>0</x:v>
      </x:c>
      <x:c r="M43" s="66" t="n">
        <x:f>IF(AND($C43&lt;=M$4+6,$D43&gt;=M$4),1,0)</x:f>
        <x:v>0</x:v>
      </x:c>
      <x:c r="N43" s="66" t="n">
        <x:f>IF(AND($C43&lt;=N$4+6,$D43&gt;=N$4),1,0)</x:f>
        <x:v>0</x:v>
      </x:c>
      <x:c r="O43" s="66" t="n">
        <x:f>IF(AND($C43&lt;=O$4+6,$D43&gt;=O$4),1,0)</x:f>
        <x:v>0</x:v>
      </x:c>
      <x:c r="P43" s="66" t="n">
        <x:f>IF(AND($C43&lt;=P$4+6,$D43&gt;=P$4),1,0)</x:f>
        <x:v>0</x:v>
      </x:c>
      <x:c r="Q43" s="66" t="n">
        <x:f>IF(AND($C43&lt;=Q$4+6,$D43&gt;=Q$4),1,0)</x:f>
        <x:v>0</x:v>
      </x:c>
      <x:c r="R43" s="66" t="n">
        <x:f>IF(AND($C43&lt;=R$4+6,$D43&gt;=R$4),1,0)</x:f>
        <x:v>0</x:v>
      </x:c>
      <x:c r="S43" s="66" t="n">
        <x:f>IF(AND($C43&lt;=S$4+6,$D43&gt;=S$4),1,0)</x:f>
        <x:v>0</x:v>
      </x:c>
      <x:c r="T43" s="66" t="n">
        <x:f>IF(AND($C43&lt;=T$4+6,$D43&gt;=T$4),1,0)</x:f>
        <x:v>0</x:v>
      </x:c>
      <x:c r="U43" s="66" t="n">
        <x:f>IF(AND($C43&lt;=U$4+6,$D43&gt;=U$4),1,0)</x:f>
        <x:v>0</x:v>
      </x:c>
      <x:c r="V43" s="66" t="n">
        <x:f>IF(AND($C43&lt;=V$4+6,$D43&gt;=V$4),1,0)</x:f>
        <x:v>0</x:v>
      </x:c>
      <x:c r="W43" s="66" t="n">
        <x:f>IF(AND($C43&lt;=W$4+6,$D43&gt;=W$4),1,0)</x:f>
        <x:v>1</x:v>
      </x:c>
      <x:c r="X43" s="66" t="n">
        <x:f>IF(AND($C43&lt;=X$4+6,$D43&gt;=X$4),1,0)</x:f>
        <x:v>0</x:v>
      </x:c>
      <x:c r="Y43" s="66" t="n">
        <x:f>IF(AND($C43&lt;=Y$4+6,$D43&gt;=Y$4),1,0)</x:f>
        <x:v>0</x:v>
      </x:c>
      <x:c r="Z43" s="66" t="n">
        <x:f>IF(AND($C43&lt;=Z$4+6,$D43&gt;=Z$4),1,0)</x:f>
        <x:v>0</x:v>
      </x:c>
      <x:c r="AA43" s="66" t="n">
        <x:f>IF(AND($C43&lt;=AA$4+6,$D43&gt;=AA$4),1,0)</x:f>
        <x:v>0</x:v>
      </x:c>
      <x:c r="AB43" s="66" t="n">
        <x:f>IF(AND($C43&lt;=AB$4+6,$D43&gt;=AB$4),1,0)</x:f>
        <x:v>0</x:v>
      </x:c>
      <x:c r="AC43" s="66" t="n">
        <x:f>IF(AND($C43&lt;=AC$4+6,$D43&gt;=AC$4),1,0)</x:f>
        <x:v>0</x:v>
      </x:c>
      <x:c r="AD43" s="66" t="n">
        <x:f>IF(AND($C43&lt;=AD$4+6,$D43&gt;=AD$4),1,0)</x:f>
        <x:v>0</x:v>
      </x:c>
      <x:c r="AE43" s="66" t="n">
        <x:f>IF(AND($C43&lt;=AE$4+6,$D43&gt;=AE$4),1,0)</x:f>
        <x:v>0</x:v>
      </x:c>
      <x:c r="AF43" s="66" t="n">
        <x:f>IF(AND($C43&lt;=AF$4+6,$D43&gt;=AF$4),1,0)</x:f>
        <x:v>0</x:v>
      </x:c>
      <x:c r="AG43" s="66" t="n">
        <x:f>IF(AND($C43&lt;=AG$4+6,$D43&gt;=AG$4),1,0)</x:f>
        <x:v>0</x:v>
      </x:c>
      <x:c r="AH43" s="66" t="n">
        <x:f>IF(AND($C43&lt;=AH$4+6,$D43&gt;=AH$4),1,0)</x:f>
        <x:v>0</x:v>
      </x:c>
    </x:row>
    <x:row r="44" ht="38" customHeight="1">
      <x:c r="A44" s="3" t="str">
        <x:v>P3-09</x:v>
      </x:c>
      <x:c r="B44" s="3" t="str">
        <x:v>원문·자동번역·검수·갱신 상태</x:v>
      </x:c>
      <x:c r="C44" s="16" t="n">
        <x:f>'기능별 일정'!H44</x:f>
        <x:v>46409</x:v>
      </x:c>
      <x:c r="D44" s="16" t="n">
        <x:f>'기능별 일정'!I44</x:f>
        <x:v>46412</x:v>
      </x:c>
      <x:c r="E44" s="66" t="n">
        <x:f>IF(AND($C44&lt;=E$4+6,$D44&gt;=E$4),1,0)</x:f>
        <x:v>0</x:v>
      </x:c>
      <x:c r="F44" s="66" t="n">
        <x:f>IF(AND($C44&lt;=F$4+6,$D44&gt;=F$4),1,0)</x:f>
        <x:v>0</x:v>
      </x:c>
      <x:c r="G44" s="66" t="n">
        <x:f>IF(AND($C44&lt;=G$4+6,$D44&gt;=G$4),1,0)</x:f>
        <x:v>0</x:v>
      </x:c>
      <x:c r="H44" s="66" t="n">
        <x:f>IF(AND($C44&lt;=H$4+6,$D44&gt;=H$4),1,0)</x:f>
        <x:v>0</x:v>
      </x:c>
      <x:c r="I44" s="66" t="n">
        <x:f>IF(AND($C44&lt;=I$4+6,$D44&gt;=I$4),1,0)</x:f>
        <x:v>0</x:v>
      </x:c>
      <x:c r="J44" s="66" t="n">
        <x:f>IF(AND($C44&lt;=J$4+6,$D44&gt;=J$4),1,0)</x:f>
        <x:v>0</x:v>
      </x:c>
      <x:c r="K44" s="66" t="n">
        <x:f>IF(AND($C44&lt;=K$4+6,$D44&gt;=K$4),1,0)</x:f>
        <x:v>0</x:v>
      </x:c>
      <x:c r="L44" s="66" t="n">
        <x:f>IF(AND($C44&lt;=L$4+6,$D44&gt;=L$4),1,0)</x:f>
        <x:v>0</x:v>
      </x:c>
      <x:c r="M44" s="66" t="n">
        <x:f>IF(AND($C44&lt;=M$4+6,$D44&gt;=M$4),1,0)</x:f>
        <x:v>0</x:v>
      </x:c>
      <x:c r="N44" s="66" t="n">
        <x:f>IF(AND($C44&lt;=N$4+6,$D44&gt;=N$4),1,0)</x:f>
        <x:v>0</x:v>
      </x:c>
      <x:c r="O44" s="66" t="n">
        <x:f>IF(AND($C44&lt;=O$4+6,$D44&gt;=O$4),1,0)</x:f>
        <x:v>0</x:v>
      </x:c>
      <x:c r="P44" s="66" t="n">
        <x:f>IF(AND($C44&lt;=P$4+6,$D44&gt;=P$4),1,0)</x:f>
        <x:v>0</x:v>
      </x:c>
      <x:c r="Q44" s="66" t="n">
        <x:f>IF(AND($C44&lt;=Q$4+6,$D44&gt;=Q$4),1,0)</x:f>
        <x:v>0</x:v>
      </x:c>
      <x:c r="R44" s="66" t="n">
        <x:f>IF(AND($C44&lt;=R$4+6,$D44&gt;=R$4),1,0)</x:f>
        <x:v>0</x:v>
      </x:c>
      <x:c r="S44" s="66" t="n">
        <x:f>IF(AND($C44&lt;=S$4+6,$D44&gt;=S$4),1,0)</x:f>
        <x:v>0</x:v>
      </x:c>
      <x:c r="T44" s="66" t="n">
        <x:f>IF(AND($C44&lt;=T$4+6,$D44&gt;=T$4),1,0)</x:f>
        <x:v>0</x:v>
      </x:c>
      <x:c r="U44" s="66" t="n">
        <x:f>IF(AND($C44&lt;=U$4+6,$D44&gt;=U$4),1,0)</x:f>
        <x:v>0</x:v>
      </x:c>
      <x:c r="V44" s="66" t="n">
        <x:f>IF(AND($C44&lt;=V$4+6,$D44&gt;=V$4),1,0)</x:f>
        <x:v>0</x:v>
      </x:c>
      <x:c r="W44" s="66" t="n">
        <x:f>IF(AND($C44&lt;=W$4+6,$D44&gt;=W$4),1,0)</x:f>
        <x:v>1</x:v>
      </x:c>
      <x:c r="X44" s="66" t="n">
        <x:f>IF(AND($C44&lt;=X$4+6,$D44&gt;=X$4),1,0)</x:f>
        <x:v>1</x:v>
      </x:c>
      <x:c r="Y44" s="66" t="n">
        <x:f>IF(AND($C44&lt;=Y$4+6,$D44&gt;=Y$4),1,0)</x:f>
        <x:v>0</x:v>
      </x:c>
      <x:c r="Z44" s="66" t="n">
        <x:f>IF(AND($C44&lt;=Z$4+6,$D44&gt;=Z$4),1,0)</x:f>
        <x:v>0</x:v>
      </x:c>
      <x:c r="AA44" s="66" t="n">
        <x:f>IF(AND($C44&lt;=AA$4+6,$D44&gt;=AA$4),1,0)</x:f>
        <x:v>0</x:v>
      </x:c>
      <x:c r="AB44" s="66" t="n">
        <x:f>IF(AND($C44&lt;=AB$4+6,$D44&gt;=AB$4),1,0)</x:f>
        <x:v>0</x:v>
      </x:c>
      <x:c r="AC44" s="66" t="n">
        <x:f>IF(AND($C44&lt;=AC$4+6,$D44&gt;=AC$4),1,0)</x:f>
        <x:v>0</x:v>
      </x:c>
      <x:c r="AD44" s="66" t="n">
        <x:f>IF(AND($C44&lt;=AD$4+6,$D44&gt;=AD$4),1,0)</x:f>
        <x:v>0</x:v>
      </x:c>
      <x:c r="AE44" s="66" t="n">
        <x:f>IF(AND($C44&lt;=AE$4+6,$D44&gt;=AE$4),1,0)</x:f>
        <x:v>0</x:v>
      </x:c>
      <x:c r="AF44" s="66" t="n">
        <x:f>IF(AND($C44&lt;=AF$4+6,$D44&gt;=AF$4),1,0)</x:f>
        <x:v>0</x:v>
      </x:c>
      <x:c r="AG44" s="66" t="n">
        <x:f>IF(AND($C44&lt;=AG$4+6,$D44&gt;=AG$4),1,0)</x:f>
        <x:v>0</x:v>
      </x:c>
      <x:c r="AH44" s="66" t="n">
        <x:f>IF(AND($C44&lt;=AH$4+6,$D44&gt;=AH$4),1,0)</x:f>
        <x:v>0</x:v>
      </x:c>
    </x:row>
    <x:row r="45" ht="38" customHeight="1">
      <x:c r="A45" s="3" t="str">
        <x:v>P3-10</x:v>
      </x:c>
      <x:c r="B45" s="3" t="str">
        <x:v>취소·지연·실패·권한 샘플</x:v>
      </x:c>
      <x:c r="C45" s="16" t="n">
        <x:f>'기능별 일정'!H45</x:f>
        <x:v>46413</x:v>
      </x:c>
      <x:c r="D45" s="16" t="n">
        <x:f>'기능별 일정'!I45</x:f>
        <x:v>46413</x:v>
      </x:c>
      <x:c r="E45" s="66" t="n">
        <x:f>IF(AND($C45&lt;=E$4+6,$D45&gt;=E$4),1,0)</x:f>
        <x:v>0</x:v>
      </x:c>
      <x:c r="F45" s="66" t="n">
        <x:f>IF(AND($C45&lt;=F$4+6,$D45&gt;=F$4),1,0)</x:f>
        <x:v>0</x:v>
      </x:c>
      <x:c r="G45" s="66" t="n">
        <x:f>IF(AND($C45&lt;=G$4+6,$D45&gt;=G$4),1,0)</x:f>
        <x:v>0</x:v>
      </x:c>
      <x:c r="H45" s="66" t="n">
        <x:f>IF(AND($C45&lt;=H$4+6,$D45&gt;=H$4),1,0)</x:f>
        <x:v>0</x:v>
      </x:c>
      <x:c r="I45" s="66" t="n">
        <x:f>IF(AND($C45&lt;=I$4+6,$D45&gt;=I$4),1,0)</x:f>
        <x:v>0</x:v>
      </x:c>
      <x:c r="J45" s="66" t="n">
        <x:f>IF(AND($C45&lt;=J$4+6,$D45&gt;=J$4),1,0)</x:f>
        <x:v>0</x:v>
      </x:c>
      <x:c r="K45" s="66" t="n">
        <x:f>IF(AND($C45&lt;=K$4+6,$D45&gt;=K$4),1,0)</x:f>
        <x:v>0</x:v>
      </x:c>
      <x:c r="L45" s="66" t="n">
        <x:f>IF(AND($C45&lt;=L$4+6,$D45&gt;=L$4),1,0)</x:f>
        <x:v>0</x:v>
      </x:c>
      <x:c r="M45" s="66" t="n">
        <x:f>IF(AND($C45&lt;=M$4+6,$D45&gt;=M$4),1,0)</x:f>
        <x:v>0</x:v>
      </x:c>
      <x:c r="N45" s="66" t="n">
        <x:f>IF(AND($C45&lt;=N$4+6,$D45&gt;=N$4),1,0)</x:f>
        <x:v>0</x:v>
      </x:c>
      <x:c r="O45" s="66" t="n">
        <x:f>IF(AND($C45&lt;=O$4+6,$D45&gt;=O$4),1,0)</x:f>
        <x:v>0</x:v>
      </x:c>
      <x:c r="P45" s="66" t="n">
        <x:f>IF(AND($C45&lt;=P$4+6,$D45&gt;=P$4),1,0)</x:f>
        <x:v>0</x:v>
      </x:c>
      <x:c r="Q45" s="66" t="n">
        <x:f>IF(AND($C45&lt;=Q$4+6,$D45&gt;=Q$4),1,0)</x:f>
        <x:v>0</x:v>
      </x:c>
      <x:c r="R45" s="66" t="n">
        <x:f>IF(AND($C45&lt;=R$4+6,$D45&gt;=R$4),1,0)</x:f>
        <x:v>0</x:v>
      </x:c>
      <x:c r="S45" s="66" t="n">
        <x:f>IF(AND($C45&lt;=S$4+6,$D45&gt;=S$4),1,0)</x:f>
        <x:v>0</x:v>
      </x:c>
      <x:c r="T45" s="66" t="n">
        <x:f>IF(AND($C45&lt;=T$4+6,$D45&gt;=T$4),1,0)</x:f>
        <x:v>0</x:v>
      </x:c>
      <x:c r="U45" s="66" t="n">
        <x:f>IF(AND($C45&lt;=U$4+6,$D45&gt;=U$4),1,0)</x:f>
        <x:v>0</x:v>
      </x:c>
      <x:c r="V45" s="66" t="n">
        <x:f>IF(AND($C45&lt;=V$4+6,$D45&gt;=V$4),1,0)</x:f>
        <x:v>0</x:v>
      </x:c>
      <x:c r="W45" s="66" t="n">
        <x:f>IF(AND($C45&lt;=W$4+6,$D45&gt;=W$4),1,0)</x:f>
        <x:v>0</x:v>
      </x:c>
      <x:c r="X45" s="66" t="n">
        <x:f>IF(AND($C45&lt;=X$4+6,$D45&gt;=X$4),1,0)</x:f>
        <x:v>1</x:v>
      </x:c>
      <x:c r="Y45" s="66" t="n">
        <x:f>IF(AND($C45&lt;=Y$4+6,$D45&gt;=Y$4),1,0)</x:f>
        <x:v>0</x:v>
      </x:c>
      <x:c r="Z45" s="66" t="n">
        <x:f>IF(AND($C45&lt;=Z$4+6,$D45&gt;=Z$4),1,0)</x:f>
        <x:v>0</x:v>
      </x:c>
      <x:c r="AA45" s="66" t="n">
        <x:f>IF(AND($C45&lt;=AA$4+6,$D45&gt;=AA$4),1,0)</x:f>
        <x:v>0</x:v>
      </x:c>
      <x:c r="AB45" s="66" t="n">
        <x:f>IF(AND($C45&lt;=AB$4+6,$D45&gt;=AB$4),1,0)</x:f>
        <x:v>0</x:v>
      </x:c>
      <x:c r="AC45" s="66" t="n">
        <x:f>IF(AND($C45&lt;=AC$4+6,$D45&gt;=AC$4),1,0)</x:f>
        <x:v>0</x:v>
      </x:c>
      <x:c r="AD45" s="66" t="n">
        <x:f>IF(AND($C45&lt;=AD$4+6,$D45&gt;=AD$4),1,0)</x:f>
        <x:v>0</x:v>
      </x:c>
      <x:c r="AE45" s="66" t="n">
        <x:f>IF(AND($C45&lt;=AE$4+6,$D45&gt;=AE$4),1,0)</x:f>
        <x:v>0</x:v>
      </x:c>
      <x:c r="AF45" s="66" t="n">
        <x:f>IF(AND($C45&lt;=AF$4+6,$D45&gt;=AF$4),1,0)</x:f>
        <x:v>0</x:v>
      </x:c>
      <x:c r="AG45" s="66" t="n">
        <x:f>IF(AND($C45&lt;=AG$4+6,$D45&gt;=AG$4),1,0)</x:f>
        <x:v>0</x:v>
      </x:c>
      <x:c r="AH45" s="66" t="n">
        <x:f>IF(AND($C45&lt;=AH$4+6,$D45&gt;=AH$4),1,0)</x:f>
        <x:v>0</x:v>
      </x:c>
    </x:row>
    <x:row r="46" ht="38" customHeight="1">
      <x:c r="A46" s="3" t="str">
        <x:v>P3-11</x:v>
      </x:c>
      <x:c r="B46" s="3" t="str">
        <x:v>3차 전체 시나리오·영어·Android 검수</x:v>
      </x:c>
      <x:c r="C46" s="16" t="n">
        <x:f>'기능별 일정'!H46</x:f>
        <x:v>46414</x:v>
      </x:c>
      <x:c r="D46" s="16" t="n">
        <x:f>'기능별 일정'!I46</x:f>
        <x:v>46419</x:v>
      </x:c>
      <x:c r="E46" s="66" t="n">
        <x:f>IF(AND($C46&lt;=E$4+6,$D46&gt;=E$4),1,0)</x:f>
        <x:v>0</x:v>
      </x:c>
      <x:c r="F46" s="66" t="n">
        <x:f>IF(AND($C46&lt;=F$4+6,$D46&gt;=F$4),1,0)</x:f>
        <x:v>0</x:v>
      </x:c>
      <x:c r="G46" s="66" t="n">
        <x:f>IF(AND($C46&lt;=G$4+6,$D46&gt;=G$4),1,0)</x:f>
        <x:v>0</x:v>
      </x:c>
      <x:c r="H46" s="66" t="n">
        <x:f>IF(AND($C46&lt;=H$4+6,$D46&gt;=H$4),1,0)</x:f>
        <x:v>0</x:v>
      </x:c>
      <x:c r="I46" s="66" t="n">
        <x:f>IF(AND($C46&lt;=I$4+6,$D46&gt;=I$4),1,0)</x:f>
        <x:v>0</x:v>
      </x:c>
      <x:c r="J46" s="66" t="n">
        <x:f>IF(AND($C46&lt;=J$4+6,$D46&gt;=J$4),1,0)</x:f>
        <x:v>0</x:v>
      </x:c>
      <x:c r="K46" s="66" t="n">
        <x:f>IF(AND($C46&lt;=K$4+6,$D46&gt;=K$4),1,0)</x:f>
        <x:v>0</x:v>
      </x:c>
      <x:c r="L46" s="66" t="n">
        <x:f>IF(AND($C46&lt;=L$4+6,$D46&gt;=L$4),1,0)</x:f>
        <x:v>0</x:v>
      </x:c>
      <x:c r="M46" s="66" t="n">
        <x:f>IF(AND($C46&lt;=M$4+6,$D46&gt;=M$4),1,0)</x:f>
        <x:v>0</x:v>
      </x:c>
      <x:c r="N46" s="66" t="n">
        <x:f>IF(AND($C46&lt;=N$4+6,$D46&gt;=N$4),1,0)</x:f>
        <x:v>0</x:v>
      </x:c>
      <x:c r="O46" s="66" t="n">
        <x:f>IF(AND($C46&lt;=O$4+6,$D46&gt;=O$4),1,0)</x:f>
        <x:v>0</x:v>
      </x:c>
      <x:c r="P46" s="66" t="n">
        <x:f>IF(AND($C46&lt;=P$4+6,$D46&gt;=P$4),1,0)</x:f>
        <x:v>0</x:v>
      </x:c>
      <x:c r="Q46" s="66" t="n">
        <x:f>IF(AND($C46&lt;=Q$4+6,$D46&gt;=Q$4),1,0)</x:f>
        <x:v>0</x:v>
      </x:c>
      <x:c r="R46" s="66" t="n">
        <x:f>IF(AND($C46&lt;=R$4+6,$D46&gt;=R$4),1,0)</x:f>
        <x:v>0</x:v>
      </x:c>
      <x:c r="S46" s="66" t="n">
        <x:f>IF(AND($C46&lt;=S$4+6,$D46&gt;=S$4),1,0)</x:f>
        <x:v>0</x:v>
      </x:c>
      <x:c r="T46" s="66" t="n">
        <x:f>IF(AND($C46&lt;=T$4+6,$D46&gt;=T$4),1,0)</x:f>
        <x:v>0</x:v>
      </x:c>
      <x:c r="U46" s="66" t="n">
        <x:f>IF(AND($C46&lt;=U$4+6,$D46&gt;=U$4),1,0)</x:f>
        <x:v>0</x:v>
      </x:c>
      <x:c r="V46" s="66" t="n">
        <x:f>IF(AND($C46&lt;=V$4+6,$D46&gt;=V$4),1,0)</x:f>
        <x:v>0</x:v>
      </x:c>
      <x:c r="W46" s="66" t="n">
        <x:f>IF(AND($C46&lt;=W$4+6,$D46&gt;=W$4),1,0)</x:f>
        <x:v>0</x:v>
      </x:c>
      <x:c r="X46" s="66" t="n">
        <x:f>IF(AND($C46&lt;=X$4+6,$D46&gt;=X$4),1,0)</x:f>
        <x:v>1</x:v>
      </x:c>
      <x:c r="Y46" s="66" t="n">
        <x:f>IF(AND($C46&lt;=Y$4+6,$D46&gt;=Y$4),1,0)</x:f>
        <x:v>1</x:v>
      </x:c>
      <x:c r="Z46" s="66" t="n">
        <x:f>IF(AND($C46&lt;=Z$4+6,$D46&gt;=Z$4),1,0)</x:f>
        <x:v>0</x:v>
      </x:c>
      <x:c r="AA46" s="66" t="n">
        <x:f>IF(AND($C46&lt;=AA$4+6,$D46&gt;=AA$4),1,0)</x:f>
        <x:v>0</x:v>
      </x:c>
      <x:c r="AB46" s="66" t="n">
        <x:f>IF(AND($C46&lt;=AB$4+6,$D46&gt;=AB$4),1,0)</x:f>
        <x:v>0</x:v>
      </x:c>
      <x:c r="AC46" s="66" t="n">
        <x:f>IF(AND($C46&lt;=AC$4+6,$D46&gt;=AC$4),1,0)</x:f>
        <x:v>0</x:v>
      </x:c>
      <x:c r="AD46" s="66" t="n">
        <x:f>IF(AND($C46&lt;=AD$4+6,$D46&gt;=AD$4),1,0)</x:f>
        <x:v>0</x:v>
      </x:c>
      <x:c r="AE46" s="66" t="n">
        <x:f>IF(AND($C46&lt;=AE$4+6,$D46&gt;=AE$4),1,0)</x:f>
        <x:v>0</x:v>
      </x:c>
      <x:c r="AF46" s="66" t="n">
        <x:f>IF(AND($C46&lt;=AF$4+6,$D46&gt;=AF$4),1,0)</x:f>
        <x:v>0</x:v>
      </x:c>
      <x:c r="AG46" s="66" t="n">
        <x:f>IF(AND($C46&lt;=AG$4+6,$D46&gt;=AG$4),1,0)</x:f>
        <x:v>0</x:v>
      </x:c>
      <x:c r="AH46" s="66" t="n">
        <x:f>IF(AND($C46&lt;=AH$4+6,$D46&gt;=AH$4),1,0)</x:f>
        <x:v>0</x:v>
      </x:c>
    </x:row>
    <x:row r="47" ht="38" customHeight="1">
      <x:c r="A47" s="3" t="str">
        <x:v>P3-12</x:v>
      </x:c>
      <x:c r="B47" s="3" t="str">
        <x:v>3차 수정 여유·백엔드 연결 인계</x:v>
      </x:c>
      <x:c r="C47" s="16" t="n">
        <x:f>'기능별 일정'!H47</x:f>
        <x:v>46420</x:v>
      </x:c>
      <x:c r="D47" s="16" t="n">
        <x:f>'기능별 일정'!I47</x:f>
        <x:v>46429</x:v>
      </x:c>
      <x:c r="E47" s="66" t="n">
        <x:f>IF(AND($C47&lt;=E$4+6,$D47&gt;=E$4),1,0)</x:f>
        <x:v>0</x:v>
      </x:c>
      <x:c r="F47" s="66" t="n">
        <x:f>IF(AND($C47&lt;=F$4+6,$D47&gt;=F$4),1,0)</x:f>
        <x:v>0</x:v>
      </x:c>
      <x:c r="G47" s="66" t="n">
        <x:f>IF(AND($C47&lt;=G$4+6,$D47&gt;=G$4),1,0)</x:f>
        <x:v>0</x:v>
      </x:c>
      <x:c r="H47" s="66" t="n">
        <x:f>IF(AND($C47&lt;=H$4+6,$D47&gt;=H$4),1,0)</x:f>
        <x:v>0</x:v>
      </x:c>
      <x:c r="I47" s="66" t="n">
        <x:f>IF(AND($C47&lt;=I$4+6,$D47&gt;=I$4),1,0)</x:f>
        <x:v>0</x:v>
      </x:c>
      <x:c r="J47" s="66" t="n">
        <x:f>IF(AND($C47&lt;=J$4+6,$D47&gt;=J$4),1,0)</x:f>
        <x:v>0</x:v>
      </x:c>
      <x:c r="K47" s="66" t="n">
        <x:f>IF(AND($C47&lt;=K$4+6,$D47&gt;=K$4),1,0)</x:f>
        <x:v>0</x:v>
      </x:c>
      <x:c r="L47" s="66" t="n">
        <x:f>IF(AND($C47&lt;=L$4+6,$D47&gt;=L$4),1,0)</x:f>
        <x:v>0</x:v>
      </x:c>
      <x:c r="M47" s="66" t="n">
        <x:f>IF(AND($C47&lt;=M$4+6,$D47&gt;=M$4),1,0)</x:f>
        <x:v>0</x:v>
      </x:c>
      <x:c r="N47" s="66" t="n">
        <x:f>IF(AND($C47&lt;=N$4+6,$D47&gt;=N$4),1,0)</x:f>
        <x:v>0</x:v>
      </x:c>
      <x:c r="O47" s="66" t="n">
        <x:f>IF(AND($C47&lt;=O$4+6,$D47&gt;=O$4),1,0)</x:f>
        <x:v>0</x:v>
      </x:c>
      <x:c r="P47" s="66" t="n">
        <x:f>IF(AND($C47&lt;=P$4+6,$D47&gt;=P$4),1,0)</x:f>
        <x:v>0</x:v>
      </x:c>
      <x:c r="Q47" s="66" t="n">
        <x:f>IF(AND($C47&lt;=Q$4+6,$D47&gt;=Q$4),1,0)</x:f>
        <x:v>0</x:v>
      </x:c>
      <x:c r="R47" s="66" t="n">
        <x:f>IF(AND($C47&lt;=R$4+6,$D47&gt;=R$4),1,0)</x:f>
        <x:v>0</x:v>
      </x:c>
      <x:c r="S47" s="66" t="n">
        <x:f>IF(AND($C47&lt;=S$4+6,$D47&gt;=S$4),1,0)</x:f>
        <x:v>0</x:v>
      </x:c>
      <x:c r="T47" s="66" t="n">
        <x:f>IF(AND($C47&lt;=T$4+6,$D47&gt;=T$4),1,0)</x:f>
        <x:v>0</x:v>
      </x:c>
      <x:c r="U47" s="66" t="n">
        <x:f>IF(AND($C47&lt;=U$4+6,$D47&gt;=U$4),1,0)</x:f>
        <x:v>0</x:v>
      </x:c>
      <x:c r="V47" s="66" t="n">
        <x:f>IF(AND($C47&lt;=V$4+6,$D47&gt;=V$4),1,0)</x:f>
        <x:v>0</x:v>
      </x:c>
      <x:c r="W47" s="66" t="n">
        <x:f>IF(AND($C47&lt;=W$4+6,$D47&gt;=W$4),1,0)</x:f>
        <x:v>0</x:v>
      </x:c>
      <x:c r="X47" s="66" t="n">
        <x:f>IF(AND($C47&lt;=X$4+6,$D47&gt;=X$4),1,0)</x:f>
        <x:v>0</x:v>
      </x:c>
      <x:c r="Y47" s="66" t="n">
        <x:f>IF(AND($C47&lt;=Y$4+6,$D47&gt;=Y$4),1,0)</x:f>
        <x:v>1</x:v>
      </x:c>
      <x:c r="Z47" s="66" t="n">
        <x:f>IF(AND($C47&lt;=Z$4+6,$D47&gt;=Z$4),1,0)</x:f>
        <x:v>1</x:v>
      </x:c>
      <x:c r="AA47" s="66" t="n">
        <x:f>IF(AND($C47&lt;=AA$4+6,$D47&gt;=AA$4),1,0)</x:f>
        <x:v>0</x:v>
      </x:c>
      <x:c r="AB47" s="66" t="n">
        <x:f>IF(AND($C47&lt;=AB$4+6,$D47&gt;=AB$4),1,0)</x:f>
        <x:v>0</x:v>
      </x:c>
      <x:c r="AC47" s="66" t="n">
        <x:f>IF(AND($C47&lt;=AC$4+6,$D47&gt;=AC$4),1,0)</x:f>
        <x:v>0</x:v>
      </x:c>
      <x:c r="AD47" s="66" t="n">
        <x:f>IF(AND($C47&lt;=AD$4+6,$D47&gt;=AD$4),1,0)</x:f>
        <x:v>0</x:v>
      </x:c>
      <x:c r="AE47" s="66" t="n">
        <x:f>IF(AND($C47&lt;=AE$4+6,$D47&gt;=AE$4),1,0)</x:f>
        <x:v>0</x:v>
      </x:c>
      <x:c r="AF47" s="66" t="n">
        <x:f>IF(AND($C47&lt;=AF$4+6,$D47&gt;=AF$4),1,0)</x:f>
        <x:v>0</x:v>
      </x:c>
      <x:c r="AG47" s="66" t="n">
        <x:f>IF(AND($C47&lt;=AG$4+6,$D47&gt;=AG$4),1,0)</x:f>
        <x:v>0</x:v>
      </x:c>
      <x:c r="AH47" s="66" t="n">
        <x:f>IF(AND($C47&lt;=AH$4+6,$D47&gt;=AH$4),1,0)</x:f>
        <x:v>0</x:v>
      </x:c>
    </x:row>
    <x:row r="49">
      <x:c r="A49" s="1" t="str">
        <x:v>주간 표시는 시작 주부터 30주임. 범위를 넘는 일정 변경은 기능별 시작·종료 열에서 확인하고 주간 열을 확장함.</x:v>
      </x:c>
      <x:c r="B49" s="1" t="str">
        <x:v>주간 표시는 시작 주부터 30주임. 범위를 넘는 일정 변경은 기능별 시작·종료 열에서 확인하고 주간 열을 확장함.</x:v>
      </x:c>
      <x:c r="C49" s="1" t="str">
        <x:v>주간 표시는 시작 주부터 30주임. 범위를 넘는 일정 변경은 기능별 시작·종료 열에서 확인하고 주간 열을 확장함.</x:v>
      </x:c>
      <x:c r="D49" s="1" t="str">
        <x:v>주간 표시는 시작 주부터 30주임. 범위를 넘는 일정 변경은 기능별 시작·종료 열에서 확인하고 주간 열을 확장함.</x:v>
      </x:c>
      <x:c r="E49" s="1" t="str">
        <x:v>주간 표시는 시작 주부터 30주임. 범위를 넘는 일정 변경은 기능별 시작·종료 열에서 확인하고 주간 열을 확장함.</x:v>
      </x:c>
      <x:c r="F49" s="1" t="str">
        <x:v>주간 표시는 시작 주부터 30주임. 범위를 넘는 일정 변경은 기능별 시작·종료 열에서 확인하고 주간 열을 확장함.</x:v>
      </x:c>
      <x:c r="G49" s="1" t="str">
        <x:v>주간 표시는 시작 주부터 30주임. 범위를 넘는 일정 변경은 기능별 시작·종료 열에서 확인하고 주간 열을 확장함.</x:v>
      </x:c>
      <x:c r="H49" s="1" t="str">
        <x:v>주간 표시는 시작 주부터 30주임. 범위를 넘는 일정 변경은 기능별 시작·종료 열에서 확인하고 주간 열을 확장함.</x:v>
      </x:c>
      <x:c r="I49" s="1" t="str">
        <x:v>주간 표시는 시작 주부터 30주임. 범위를 넘는 일정 변경은 기능별 시작·종료 열에서 확인하고 주간 열을 확장함.</x:v>
      </x:c>
      <x:c r="J49" s="1" t="str">
        <x:v>주간 표시는 시작 주부터 30주임. 범위를 넘는 일정 변경은 기능별 시작·종료 열에서 확인하고 주간 열을 확장함.</x:v>
      </x:c>
    </x:row>
    <x:row r="50">
      <x:c r="A50" s="1" t="str">
        <x:v>주간 표시는 시작 주부터 30주임. 범위를 넘는 일정 변경은 기능별 시작·종료 열에서 확인하고 주간 열을 확장함.</x:v>
      </x:c>
      <x:c r="B50" s="1" t="str">
        <x:v>주간 표시는 시작 주부터 30주임. 범위를 넘는 일정 변경은 기능별 시작·종료 열에서 확인하고 주간 열을 확장함.</x:v>
      </x:c>
      <x:c r="C50" s="1" t="str">
        <x:v>주간 표시는 시작 주부터 30주임. 범위를 넘는 일정 변경은 기능별 시작·종료 열에서 확인하고 주간 열을 확장함.</x:v>
      </x:c>
      <x:c r="D50" s="1" t="str">
        <x:v>주간 표시는 시작 주부터 30주임. 범위를 넘는 일정 변경은 기능별 시작·종료 열에서 확인하고 주간 열을 확장함.</x:v>
      </x:c>
      <x:c r="E50" s="1" t="str">
        <x:v>주간 표시는 시작 주부터 30주임. 범위를 넘는 일정 변경은 기능별 시작·종료 열에서 확인하고 주간 열을 확장함.</x:v>
      </x:c>
      <x:c r="F50" s="1" t="str">
        <x:v>주간 표시는 시작 주부터 30주임. 범위를 넘는 일정 변경은 기능별 시작·종료 열에서 확인하고 주간 열을 확장함.</x:v>
      </x:c>
      <x:c r="G50" s="1" t="str">
        <x:v>주간 표시는 시작 주부터 30주임. 범위를 넘는 일정 변경은 기능별 시작·종료 열에서 확인하고 주간 열을 확장함.</x:v>
      </x:c>
      <x:c r="H50" s="1" t="str">
        <x:v>주간 표시는 시작 주부터 30주임. 범위를 넘는 일정 변경은 기능별 시작·종료 열에서 확인하고 주간 열을 확장함.</x:v>
      </x:c>
      <x:c r="I50" s="1" t="str">
        <x:v>주간 표시는 시작 주부터 30주임. 범위를 넘는 일정 변경은 기능별 시작·종료 열에서 확인하고 주간 열을 확장함.</x:v>
      </x:c>
      <x:c r="J50" s="1" t="str">
        <x:v>주간 표시는 시작 주부터 30주임. 범위를 넘는 일정 변경은 기능별 시작·종료 열에서 확인하고 주간 열을 확장함.</x:v>
      </x:c>
    </x:row>
  </x:sheetData>
  <x:mergeCells>
    <x:mergeCell ref="A1:P2"/>
    <x:mergeCell ref="A3:P3"/>
    <x:mergeCell ref="A49:J50"/>
  </x:mergeCells>
  <x:conditionalFormatting sqref="E5:AH5">
    <x:cfRule type="cellIs" dxfId="1" priority="1" operator="equal">
      <x:formula>1</x:formula>
    </x:cfRule>
  </x:conditionalFormatting>
  <x:conditionalFormatting sqref="E6:AH6">
    <x:cfRule type="cellIs" dxfId="2" priority="2" operator="equal">
      <x:formula>1</x:formula>
    </x:cfRule>
  </x:conditionalFormatting>
  <x:conditionalFormatting sqref="E7:AH7">
    <x:cfRule type="cellIs" dxfId="3" priority="3" operator="equal">
      <x:formula>1</x:formula>
    </x:cfRule>
  </x:conditionalFormatting>
  <x:conditionalFormatting sqref="E8:AH8">
    <x:cfRule type="cellIs" dxfId="4" priority="4" operator="equal">
      <x:formula>1</x:formula>
    </x:cfRule>
  </x:conditionalFormatting>
  <x:conditionalFormatting sqref="E9:AH9">
    <x:cfRule type="cellIs" dxfId="5" priority="5" operator="equal">
      <x:formula>1</x:formula>
    </x:cfRule>
  </x:conditionalFormatting>
  <x:conditionalFormatting sqref="E10:AH10">
    <x:cfRule type="cellIs" dxfId="6" priority="6" operator="equal">
      <x:formula>1</x:formula>
    </x:cfRule>
  </x:conditionalFormatting>
  <x:conditionalFormatting sqref="E11:AH11">
    <x:cfRule type="cellIs" dxfId="7" priority="7" operator="equal">
      <x:formula>1</x:formula>
    </x:cfRule>
  </x:conditionalFormatting>
  <x:conditionalFormatting sqref="E12:AH12">
    <x:cfRule type="cellIs" dxfId="8" priority="8" operator="equal">
      <x:formula>1</x:formula>
    </x:cfRule>
  </x:conditionalFormatting>
  <x:conditionalFormatting sqref="E13:AH13">
    <x:cfRule type="cellIs" dxfId="9" priority="9" operator="equal">
      <x:formula>1</x:formula>
    </x:cfRule>
  </x:conditionalFormatting>
  <x:conditionalFormatting sqref="E14:AH14">
    <x:cfRule type="cellIs" dxfId="10" priority="10" operator="equal">
      <x:formula>1</x:formula>
    </x:cfRule>
  </x:conditionalFormatting>
  <x:conditionalFormatting sqref="E15:AH15">
    <x:cfRule type="cellIs" dxfId="11" priority="11" operator="equal">
      <x:formula>1</x:formula>
    </x:cfRule>
  </x:conditionalFormatting>
  <x:conditionalFormatting sqref="E16:AH16">
    <x:cfRule type="cellIs" dxfId="12" priority="12" operator="equal">
      <x:formula>1</x:formula>
    </x:cfRule>
  </x:conditionalFormatting>
  <x:conditionalFormatting sqref="E17:AH17">
    <x:cfRule type="cellIs" dxfId="13" priority="13" operator="equal">
      <x:formula>1</x:formula>
    </x:cfRule>
  </x:conditionalFormatting>
  <x:conditionalFormatting sqref="E18:AH18">
    <x:cfRule type="cellIs" dxfId="14" priority="14" operator="equal">
      <x:formula>1</x:formula>
    </x:cfRule>
  </x:conditionalFormatting>
  <x:conditionalFormatting sqref="E19:AH19">
    <x:cfRule type="cellIs" dxfId="15" priority="15" operator="equal">
      <x:formula>1</x:formula>
    </x:cfRule>
  </x:conditionalFormatting>
  <x:conditionalFormatting sqref="E20:AH20">
    <x:cfRule type="cellIs" dxfId="16" priority="16" operator="equal">
      <x:formula>1</x:formula>
    </x:cfRule>
  </x:conditionalFormatting>
  <x:conditionalFormatting sqref="E21:AH21">
    <x:cfRule type="cellIs" dxfId="17" priority="17" operator="equal">
      <x:formula>1</x:formula>
    </x:cfRule>
  </x:conditionalFormatting>
  <x:conditionalFormatting sqref="E22:AH22">
    <x:cfRule type="cellIs" dxfId="18" priority="18" operator="equal">
      <x:formula>1</x:formula>
    </x:cfRule>
  </x:conditionalFormatting>
  <x:conditionalFormatting sqref="E23:AH23">
    <x:cfRule type="cellIs" dxfId="19" priority="19" operator="equal">
      <x:formula>1</x:formula>
    </x:cfRule>
  </x:conditionalFormatting>
  <x:conditionalFormatting sqref="E24:AH24">
    <x:cfRule type="cellIs" dxfId="20" priority="20" operator="equal">
      <x:formula>1</x:formula>
    </x:cfRule>
  </x:conditionalFormatting>
  <x:conditionalFormatting sqref="E25:AH25">
    <x:cfRule type="cellIs" dxfId="21" priority="21" operator="equal">
      <x:formula>1</x:formula>
    </x:cfRule>
  </x:conditionalFormatting>
  <x:conditionalFormatting sqref="E26:AH26">
    <x:cfRule type="cellIs" dxfId="22" priority="22" operator="equal">
      <x:formula>1</x:formula>
    </x:cfRule>
  </x:conditionalFormatting>
  <x:conditionalFormatting sqref="E27:AH27">
    <x:cfRule type="cellIs" dxfId="23" priority="23" operator="equal">
      <x:formula>1</x:formula>
    </x:cfRule>
  </x:conditionalFormatting>
  <x:conditionalFormatting sqref="E28:AH28">
    <x:cfRule type="cellIs" dxfId="24" priority="24" operator="equal">
      <x:formula>1</x:formula>
    </x:cfRule>
  </x:conditionalFormatting>
  <x:conditionalFormatting sqref="E29:AH29">
    <x:cfRule type="cellIs" dxfId="25" priority="25" operator="equal">
      <x:formula>1</x:formula>
    </x:cfRule>
  </x:conditionalFormatting>
  <x:conditionalFormatting sqref="E30:AH30">
    <x:cfRule type="cellIs" dxfId="26" priority="26" operator="equal">
      <x:formula>1</x:formula>
    </x:cfRule>
  </x:conditionalFormatting>
  <x:conditionalFormatting sqref="E31:AH31">
    <x:cfRule type="cellIs" dxfId="27" priority="27" operator="equal">
      <x:formula>1</x:formula>
    </x:cfRule>
  </x:conditionalFormatting>
  <x:conditionalFormatting sqref="E32:AH32">
    <x:cfRule type="cellIs" dxfId="28" priority="28" operator="equal">
      <x:formula>1</x:formula>
    </x:cfRule>
  </x:conditionalFormatting>
  <x:conditionalFormatting sqref="E33:AH33">
    <x:cfRule type="cellIs" dxfId="29" priority="29" operator="equal">
      <x:formula>1</x:formula>
    </x:cfRule>
  </x:conditionalFormatting>
  <x:conditionalFormatting sqref="E34:AH34">
    <x:cfRule type="cellIs" dxfId="30" priority="30" operator="equal">
      <x:formula>1</x:formula>
    </x:cfRule>
  </x:conditionalFormatting>
  <x:conditionalFormatting sqref="E35:AH35">
    <x:cfRule type="cellIs" dxfId="31" priority="31" operator="equal">
      <x:formula>1</x:formula>
    </x:cfRule>
  </x:conditionalFormatting>
  <x:conditionalFormatting sqref="E36:AH36">
    <x:cfRule type="cellIs" dxfId="32" priority="32" operator="equal">
      <x:formula>1</x:formula>
    </x:cfRule>
  </x:conditionalFormatting>
  <x:conditionalFormatting sqref="E37:AH37">
    <x:cfRule type="cellIs" dxfId="33" priority="33" operator="equal">
      <x:formula>1</x:formula>
    </x:cfRule>
  </x:conditionalFormatting>
  <x:conditionalFormatting sqref="E38:AH38">
    <x:cfRule type="cellIs" dxfId="34" priority="34" operator="equal">
      <x:formula>1</x:formula>
    </x:cfRule>
  </x:conditionalFormatting>
  <x:conditionalFormatting sqref="E39:AH39">
    <x:cfRule type="cellIs" dxfId="35" priority="35" operator="equal">
      <x:formula>1</x:formula>
    </x:cfRule>
  </x:conditionalFormatting>
  <x:conditionalFormatting sqref="E40:AH40">
    <x:cfRule type="cellIs" dxfId="36" priority="36" operator="equal">
      <x:formula>1</x:formula>
    </x:cfRule>
  </x:conditionalFormatting>
  <x:conditionalFormatting sqref="E41:AH41">
    <x:cfRule type="cellIs" dxfId="37" priority="37" operator="equal">
      <x:formula>1</x:formula>
    </x:cfRule>
  </x:conditionalFormatting>
  <x:conditionalFormatting sqref="E42:AH42">
    <x:cfRule type="cellIs" dxfId="38" priority="38" operator="equal">
      <x:formula>1</x:formula>
    </x:cfRule>
  </x:conditionalFormatting>
  <x:conditionalFormatting sqref="E43:AH43">
    <x:cfRule type="cellIs" dxfId="39" priority="39" operator="equal">
      <x:formula>1</x:formula>
    </x:cfRule>
  </x:conditionalFormatting>
  <x:conditionalFormatting sqref="E44:AH44">
    <x:cfRule type="cellIs" dxfId="40" priority="40" operator="equal">
      <x:formula>1</x:formula>
    </x:cfRule>
  </x:conditionalFormatting>
  <x:conditionalFormatting sqref="E45:AH45">
    <x:cfRule type="cellIs" dxfId="41" priority="41" operator="equal">
      <x:formula>1</x:formula>
    </x:cfRule>
  </x:conditionalFormatting>
  <x:conditionalFormatting sqref="E46:AH46">
    <x:cfRule type="cellIs" dxfId="42" priority="42" operator="equal">
      <x:formula>1</x:formula>
    </x:cfRule>
  </x:conditionalFormatting>
  <x:conditionalFormatting sqref="E47:AH47">
    <x:cfRule type="cellIs" dxfId="43" priority="43" operator="equal">
      <x:formula>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3313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7.5" hidden="0" customWidth="1"/>
    <x:col min="3" max="3" width="25.6299991607666" hidden="0" customWidth="1"/>
    <x:col min="4" max="4" width="3" hidden="0" customWidth="1"/>
    <x:col min="5" max="5" width="28.75" hidden="0" customWidth="1"/>
    <x:col min="6" max="6" width="25" hidden="0" customWidth="1"/>
    <x:col min="7" max="7" width="18.75" hidden="0" customWidth="1"/>
  </x:cols>
  <x:sheetData>
    <x:row r="1" ht="28" customHeight="1">
      <x:c r="A1" s="6" t="str">
        <x:v>휴일과 일정 기준</x:v>
      </x:c>
      <x:c r="B1" s="6" t="str">
        <x:v>휴일과 일정 기준</x:v>
      </x:c>
      <x:c r="C1" s="6" t="str">
        <x:v>휴일과 일정 기준</x:v>
      </x:c>
      <x:c r="D1" s="6" t="str">
        <x:v>휴일과 일정 기준</x:v>
      </x:c>
      <x:c r="E1" s="6" t="str">
        <x:v>휴일과 일정 기준</x:v>
      </x:c>
      <x:c r="F1" s="6" t="str">
        <x:v>휴일과 일정 기준</x:v>
      </x:c>
      <x:c r="G1" s="6" t="str">
        <x:v>휴일과 일정 기준</x:v>
      </x:c>
    </x:row>
    <x:row r="2" ht="29" customHeight="1">
      <x:c r="A2" s="6" t="str">
        <x:v>휴일과 일정 기준</x:v>
      </x:c>
      <x:c r="B2" s="6" t="str">
        <x:v>휴일과 일정 기준</x:v>
      </x:c>
      <x:c r="C2" s="6" t="str">
        <x:v>휴일과 일정 기준</x:v>
      </x:c>
      <x:c r="D2" s="6" t="str">
        <x:v>휴일과 일정 기준</x:v>
      </x:c>
      <x:c r="E2" s="6" t="str">
        <x:v>휴일과 일정 기준</x:v>
      </x:c>
      <x:c r="F2" s="6" t="str">
        <x:v>휴일과 일정 기준</x:v>
      </x:c>
      <x:c r="G2" s="6" t="str">
        <x:v>휴일과 일정 기준</x:v>
      </x:c>
    </x:row>
    <x:row r="3" ht="34" customHeight="1">
      <x:c r="A3" s="8" t="str">
        <x:v>2026년 9월~2027년 3월 / 주말은 별도로 자동 제외함</x:v>
      </x:c>
      <x:c r="B3" s="8" t="str">
        <x:v>2026년 9월~2027년 3월 / 주말은 별도로 자동 제외함</x:v>
      </x:c>
      <x:c r="C3" s="8" t="str">
        <x:v>2026년 9월~2027년 3월 / 주말은 별도로 자동 제외함</x:v>
      </x:c>
      <x:c r="D3" s="8" t="str">
        <x:v>2026년 9월~2027년 3월 / 주말은 별도로 자동 제외함</x:v>
      </x:c>
      <x:c r="E3" s="8" t="str">
        <x:v>2026년 9월~2027년 3월 / 주말은 별도로 자동 제외함</x:v>
      </x:c>
      <x:c r="F3" s="8" t="str">
        <x:v>2026년 9월~2027년 3월 / 주말은 별도로 자동 제외함</x:v>
      </x:c>
      <x:c r="G3" s="8" t="str">
        <x:v>2026년 9월~2027년 3월 / 주말은 별도로 자동 제외함</x:v>
      </x:c>
    </x:row>
    <x:row r="4" ht="36" customHeight="1">
      <x:c r="A4" s="9" t="str">
        <x:v>휴일 날짜</x:v>
      </x:c>
      <x:c r="B4" s="9" t="str">
        <x:v>구분</x:v>
      </x:c>
      <x:c r="C4" s="9" t="str">
        <x:v>출처</x:v>
      </x:c>
      <x:c r="D4" s="3"/>
      <x:c r="E4" s="23" t="str">
        <x:v>휴일 입력</x:v>
      </x:c>
      <x:c r="F4" s="23" t="str">
        <x:v>휴일 입력</x:v>
      </x:c>
      <x:c r="G4" s="23" t="str">
        <x:v>휴일 입력</x:v>
      </x:c>
    </x:row>
    <x:row r="5" ht="29" customHeight="1">
      <x:c r="A5" s="24" t="n">
        <x:v>46289</x:v>
      </x:c>
      <x:c r="B5" s="18" t="str">
        <x:v>추석 연휴</x:v>
      </x:c>
      <x:c r="C5" s="11" t="str">
        <x:v>우주항공청 2026년 월력요항</x:v>
      </x:c>
      <x:c r="D5" s="3"/>
      <x:c r="E5" s="10" t="str">
        <x:v>휴가·임시 공휴일은 A18:B104의 빈 행에 날짜와 이름을 추가함. 날짜 계산은 A5:A104 전체를 참조함. 날짜 열에는 설명 문구를 넣지 않음. 주말과 겹치는 공휴일은 이중 차감하지 않음.</x:v>
      </x:c>
      <x:c r="F5" s="10" t="str">
        <x:v>휴가·임시 공휴일은 A18:B104의 빈 행에 날짜와 이름을 추가함. 날짜 계산은 A5:A104 전체를 참조함. 날짜 열에는 설명 문구를 넣지 않음. 주말과 겹치는 공휴일은 이중 차감하지 않음.</x:v>
      </x:c>
      <x:c r="G5" s="10" t="str">
        <x:v>휴가·임시 공휴일은 A18:B104의 빈 행에 날짜와 이름을 추가함. 날짜 계산은 A5:A104 전체를 참조함. 날짜 열에는 설명 문구를 넣지 않음. 주말과 겹치는 공휴일은 이중 차감하지 않음.</x:v>
      </x:c>
    </x:row>
    <x:row r="6" ht="29" customHeight="1">
      <x:c r="A6" s="25" t="n">
        <x:v>46290</x:v>
      </x:c>
      <x:c r="B6" s="20" t="str">
        <x:v>추석</x:v>
      </x:c>
      <x:c r="C6" s="13" t="str">
        <x:v>우주항공청 2026년 월력요항</x:v>
      </x:c>
      <x:c r="D6" s="3"/>
      <x:c r="E6" s="10" t="str">
        <x:v>휴가·임시 공휴일은 A18:B104의 빈 행에 날짜와 이름을 추가함. 날짜 계산은 A5:A104 전체를 참조함. 날짜 열에는 설명 문구를 넣지 않음. 주말과 겹치는 공휴일은 이중 차감하지 않음.</x:v>
      </x:c>
      <x:c r="F6" s="10" t="str">
        <x:v>휴가·임시 공휴일은 A18:B104의 빈 행에 날짜와 이름을 추가함. 날짜 계산은 A5:A104 전체를 참조함. 날짜 열에는 설명 문구를 넣지 않음. 주말과 겹치는 공휴일은 이중 차감하지 않음.</x:v>
      </x:c>
      <x:c r="G6" s="10" t="str">
        <x:v>휴가·임시 공휴일은 A18:B104의 빈 행에 날짜와 이름을 추가함. 날짜 계산은 A5:A104 전체를 참조함. 날짜 열에는 설명 문구를 넣지 않음. 주말과 겹치는 공휴일은 이중 차감하지 않음.</x:v>
      </x:c>
    </x:row>
    <x:row r="7" ht="29" customHeight="1">
      <x:c r="A7" s="24" t="n">
        <x:v>46291</x:v>
      </x:c>
      <x:c r="B7" s="18" t="str">
        <x:v>추석 연휴</x:v>
      </x:c>
      <x:c r="C7" s="11" t="str">
        <x:v>우주항공청 2026년 월력요항</x:v>
      </x:c>
      <x:c r="D7" s="3"/>
      <x:c r="E7" s="10" t="str">
        <x:v>휴가·임시 공휴일은 A18:B104의 빈 행에 날짜와 이름을 추가함. 날짜 계산은 A5:A104 전체를 참조함. 날짜 열에는 설명 문구를 넣지 않음. 주말과 겹치는 공휴일은 이중 차감하지 않음.</x:v>
      </x:c>
      <x:c r="F7" s="10" t="str">
        <x:v>휴가·임시 공휴일은 A18:B104의 빈 행에 날짜와 이름을 추가함. 날짜 계산은 A5:A104 전체를 참조함. 날짜 열에는 설명 문구를 넣지 않음. 주말과 겹치는 공휴일은 이중 차감하지 않음.</x:v>
      </x:c>
      <x:c r="G7" s="10" t="str">
        <x:v>휴가·임시 공휴일은 A18:B104의 빈 행에 날짜와 이름을 추가함. 날짜 계산은 A5:A104 전체를 참조함. 날짜 열에는 설명 문구를 넣지 않음. 주말과 겹치는 공휴일은 이중 차감하지 않음.</x:v>
      </x:c>
    </x:row>
    <x:row r="8" ht="29" customHeight="1">
      <x:c r="A8" s="25" t="n">
        <x:v>46298</x:v>
      </x:c>
      <x:c r="B8" s="20" t="str">
        <x:v>개천절</x:v>
      </x:c>
      <x:c r="C8" s="13" t="str">
        <x:v>우주항공청 2026년 월력요항</x:v>
      </x:c>
      <x:c r="D8" s="3"/>
      <x:c r="E8" s="10" t="str">
        <x:v>휴가·임시 공휴일은 A18:B104의 빈 행에 날짜와 이름을 추가함. 날짜 계산은 A5:A104 전체를 참조함. 날짜 열에는 설명 문구를 넣지 않음. 주말과 겹치는 공휴일은 이중 차감하지 않음.</x:v>
      </x:c>
      <x:c r="F8" s="10" t="str">
        <x:v>휴가·임시 공휴일은 A18:B104의 빈 행에 날짜와 이름을 추가함. 날짜 계산은 A5:A104 전체를 참조함. 날짜 열에는 설명 문구를 넣지 않음. 주말과 겹치는 공휴일은 이중 차감하지 않음.</x:v>
      </x:c>
      <x:c r="G8" s="10" t="str">
        <x:v>휴가·임시 공휴일은 A18:B104의 빈 행에 날짜와 이름을 추가함. 날짜 계산은 A5:A104 전체를 참조함. 날짜 열에는 설명 문구를 넣지 않음. 주말과 겹치는 공휴일은 이중 차감하지 않음.</x:v>
      </x:c>
    </x:row>
    <x:row r="9" ht="29" customHeight="1">
      <x:c r="A9" s="24" t="n">
        <x:v>46300</x:v>
      </x:c>
      <x:c r="B9" s="18" t="str">
        <x:v>개천절 대체공휴일</x:v>
      </x:c>
      <x:c r="C9" s="11" t="str">
        <x:v>우주항공청 2026년 월력요항</x:v>
      </x:c>
      <x:c r="D9" s="3"/>
      <x:c r="E9" s="3"/>
      <x:c r="F9" s="3"/>
      <x:c r="G9" s="3"/>
    </x:row>
    <x:row r="10" ht="29" customHeight="1">
      <x:c r="A10" s="25" t="n">
        <x:v>46304</x:v>
      </x:c>
      <x:c r="B10" s="20" t="str">
        <x:v>한글날</x:v>
      </x:c>
      <x:c r="C10" s="13" t="str">
        <x:v>우주항공청 2026년 월력요항</x:v>
      </x:c>
      <x:c r="D10" s="3"/>
      <x:c r="E10" s="23" t="str">
        <x:v>공식 달력 출처</x:v>
      </x:c>
      <x:c r="F10" s="23" t="str">
        <x:v>공식 달력 출처</x:v>
      </x:c>
      <x:c r="G10" s="23" t="str">
        <x:v>공식 달력 출처</x:v>
      </x:c>
    </x:row>
    <x:row r="11" ht="29" customHeight="1">
      <x:c r="A11" s="24" t="n">
        <x:v>46381</x:v>
      </x:c>
      <x:c r="B11" s="18" t="str">
        <x:v>성탄절</x:v>
      </x:c>
      <x:c r="C11" s="11" t="str">
        <x:v>우주항공청 2026년 월력요항</x:v>
      </x:c>
      <x:c r="D11" s="3"/>
      <x:c r="E11" s="3" t="str">
        <x:v>https://www.kasa.go.kr/prog/bbsArticle/BBSMSTR_000000000010/view.do?bbsId=BBSMSTR_000000000010&amp;nttId=B000000001860Pe2zT3</x:v>
      </x:c>
      <x:c r="F11" s="3" t="str">
        <x:v>https://www.kasa.go.kr/prog/bbsArticle/BBSMSTR_000000000010/view.do?bbsId=BBSMSTR_000000000010&amp;nttId=B000000001860Pe2zT3</x:v>
      </x:c>
      <x:c r="G11" s="3" t="str">
        <x:v>https://www.kasa.go.kr/prog/bbsArticle/BBSMSTR_000000000010/view.do?bbsId=BBSMSTR_000000000010&amp;nttId=B000000001860Pe2zT3</x:v>
      </x:c>
    </x:row>
    <x:row r="12" ht="29" customHeight="1">
      <x:c r="A12" s="25" t="n">
        <x:v>46388</x:v>
      </x:c>
      <x:c r="B12" s="20" t="str">
        <x:v>신정</x:v>
      </x:c>
      <x:c r="C12" s="13" t="str">
        <x:v>우주항공청 2027년 월력요항</x:v>
      </x:c>
      <x:c r="D12" s="3"/>
      <x:c r="E12" s="3" t="str">
        <x:v>https://www.kasa.go.kr/prog/bbsArticle/BBSMSTR_000000000010/view.do?bbsId=BBSMSTR_000000000010&amp;nttId=B000000001860Pe2zT3</x:v>
      </x:c>
      <x:c r="F12" s="3" t="str">
        <x:v>https://www.kasa.go.kr/prog/bbsArticle/BBSMSTR_000000000010/view.do?bbsId=BBSMSTR_000000000010&amp;nttId=B000000001860Pe2zT3</x:v>
      </x:c>
      <x:c r="G12" s="3" t="str">
        <x:v>https://www.kasa.go.kr/prog/bbsArticle/BBSMSTR_000000000010/view.do?bbsId=BBSMSTR_000000000010&amp;nttId=B000000001860Pe2zT3</x:v>
      </x:c>
    </x:row>
    <x:row r="13" ht="29" customHeight="1">
      <x:c r="A13" s="24" t="n">
        <x:v>46424</x:v>
      </x:c>
      <x:c r="B13" s="18" t="str">
        <x:v>설 연휴</x:v>
      </x:c>
      <x:c r="C13" s="11" t="str">
        <x:v>우주항공청 2027년 월력요항</x:v>
      </x:c>
      <x:c r="D13" s="3"/>
      <x:c r="E13" s="3" t="str">
        <x:v>https://www.kasa.go.kr/prog/bbsArticle/BBSMSTR_000000000010/view.do?bbsId=BBSMSTR_000000000010&amp;nttId=B000000001860Pe2zT3</x:v>
      </x:c>
      <x:c r="F13" s="3" t="str">
        <x:v>https://www.kasa.go.kr/prog/bbsArticle/BBSMSTR_000000000010/view.do?bbsId=BBSMSTR_000000000010&amp;nttId=B000000001860Pe2zT3</x:v>
      </x:c>
      <x:c r="G13" s="3" t="str">
        <x:v>https://www.kasa.go.kr/prog/bbsArticle/BBSMSTR_000000000010/view.do?bbsId=BBSMSTR_000000000010&amp;nttId=B000000001860Pe2zT3</x:v>
      </x:c>
    </x:row>
    <x:row r="14" ht="29" customHeight="1">
      <x:c r="A14" s="25" t="n">
        <x:v>46425</x:v>
      </x:c>
      <x:c r="B14" s="20" t="str">
        <x:v>설날</x:v>
      </x:c>
      <x:c r="C14" s="13" t="str">
        <x:v>우주항공청 2027년 월력요항</x:v>
      </x:c>
      <x:c r="D14" s="3"/>
      <x:c r="E14" s="3" t="str">
        <x:v>https://www.kasa.go.kr/prog/plcyBrf/brief/kor/sub01_01_04/view.do?plcyBrfNo=431</x:v>
      </x:c>
      <x:c r="F14" s="3" t="str">
        <x:v>https://www.kasa.go.kr/prog/plcyBrf/brief/kor/sub01_01_04/view.do?plcyBrfNo=431</x:v>
      </x:c>
      <x:c r="G14" s="3" t="str">
        <x:v>https://www.kasa.go.kr/prog/plcyBrf/brief/kor/sub01_01_04/view.do?plcyBrfNo=431</x:v>
      </x:c>
    </x:row>
    <x:row r="15" ht="29" customHeight="1">
      <x:c r="A15" s="24" t="n">
        <x:v>46426</x:v>
      </x:c>
      <x:c r="B15" s="18" t="str">
        <x:v>설 연휴</x:v>
      </x:c>
      <x:c r="C15" s="11" t="str">
        <x:v>우주항공청 2027년 월력요항</x:v>
      </x:c>
      <x:c r="D15" s="3"/>
      <x:c r="E15" s="3" t="str">
        <x:v>https://www.kasa.go.kr/prog/plcyBrf/brief/kor/sub01_01_04/view.do?plcyBrfNo=431</x:v>
      </x:c>
      <x:c r="F15" s="3" t="str">
        <x:v>https://www.kasa.go.kr/prog/plcyBrf/brief/kor/sub01_01_04/view.do?plcyBrfNo=431</x:v>
      </x:c>
      <x:c r="G15" s="3" t="str">
        <x:v>https://www.kasa.go.kr/prog/plcyBrf/brief/kor/sub01_01_04/view.do?plcyBrfNo=431</x:v>
      </x:c>
    </x:row>
    <x:row r="16" ht="29" customHeight="1">
      <x:c r="A16" s="25" t="n">
        <x:v>46427</x:v>
      </x:c>
      <x:c r="B16" s="20" t="str">
        <x:v>설 대체공휴일</x:v>
      </x:c>
      <x:c r="C16" s="13" t="str">
        <x:v>우주항공청 2027년 월력요항</x:v>
      </x:c>
      <x:c r="D16" s="3"/>
      <x:c r="E16" s="3" t="str">
        <x:v>https://www.kasa.go.kr/prog/plcyBrf/brief/kor/sub01_01_04/view.do?plcyBrfNo=431</x:v>
      </x:c>
      <x:c r="F16" s="3" t="str">
        <x:v>https://www.kasa.go.kr/prog/plcyBrf/brief/kor/sub01_01_04/view.do?plcyBrfNo=431</x:v>
      </x:c>
      <x:c r="G16" s="3" t="str">
        <x:v>https://www.kasa.go.kr/prog/plcyBrf/brief/kor/sub01_01_04/view.do?plcyBrfNo=431</x:v>
      </x:c>
    </x:row>
    <x:row r="17" ht="29" customHeight="1">
      <x:c r="A17" s="24" t="n">
        <x:v>46447</x:v>
      </x:c>
      <x:c r="B17" s="18" t="str">
        <x:v>삼일절</x:v>
      </x:c>
      <x:c r="C17" s="11" t="str">
        <x:v>우주항공청 2027년 월력요항</x:v>
      </x:c>
      <x:c r="D17" s="3"/>
      <x:c r="E17" s="3"/>
      <x:c r="F17" s="3"/>
      <x:c r="G17" s="3"/>
    </x:row>
    <x:row r="18" ht="29" customHeight="1">
      <x:c r="A18" s="26"/>
      <x:c r="B18" s="22"/>
      <x:c r="C18" s="3"/>
      <x:c r="D18" s="3"/>
      <x:c r="E18" s="10" t="str">
        <x:v>확인일 2026-09-15. 적용 기간 밖으로 일정을 옮기면 해당 기간의 휴일을 추가 확인함. 작업일은 기능 구현·검수에 배정한 일수이며 회의·휴가·새 요구사항은 필요에 따라 추가함.</x:v>
      </x:c>
      <x:c r="F18" s="10" t="str">
        <x:v>확인일 2026-09-15. 적용 기간 밖으로 일정을 옮기면 해당 기간의 휴일을 추가 확인함. 작업일은 기능 구현·검수에 배정한 일수이며 회의·휴가·새 요구사항은 필요에 따라 추가함.</x:v>
      </x:c>
      <x:c r="G18" s="10" t="str">
        <x:v>확인일 2026-09-15. 적용 기간 밖으로 일정을 옮기면 해당 기간의 휴일을 추가 확인함. 작업일은 기능 구현·검수에 배정한 일수이며 회의·휴가·새 요구사항은 필요에 따라 추가함.</x:v>
      </x:c>
    </x:row>
    <x:row r="19" ht="29" customHeight="1">
      <x:c r="A19" s="26"/>
      <x:c r="B19" s="22"/>
      <x:c r="C19" s="3"/>
      <x:c r="D19" s="3"/>
      <x:c r="E19" s="10" t="str">
        <x:v>확인일 2026-09-15. 적용 기간 밖으로 일정을 옮기면 해당 기간의 휴일을 추가 확인함. 작업일은 기능 구현·검수에 배정한 일수이며 회의·휴가·새 요구사항은 필요에 따라 추가함.</x:v>
      </x:c>
      <x:c r="F19" s="10" t="str">
        <x:v>확인일 2026-09-15. 적용 기간 밖으로 일정을 옮기면 해당 기간의 휴일을 추가 확인함. 작업일은 기능 구현·검수에 배정한 일수이며 회의·휴가·새 요구사항은 필요에 따라 추가함.</x:v>
      </x:c>
      <x:c r="G19" s="10" t="str">
        <x:v>확인일 2026-09-15. 적용 기간 밖으로 일정을 옮기면 해당 기간의 휴일을 추가 확인함. 작업일은 기능 구현·검수에 배정한 일수이며 회의·휴가·새 요구사항은 필요에 따라 추가함.</x:v>
      </x:c>
    </x:row>
    <x:row r="20" ht="29" customHeight="1">
      <x:c r="A20" s="26"/>
      <x:c r="B20" s="22"/>
      <x:c r="C20" s="3"/>
      <x:c r="D20" s="3"/>
      <x:c r="E20" s="10" t="str">
        <x:v>확인일 2026-09-15. 적용 기간 밖으로 일정을 옮기면 해당 기간의 휴일을 추가 확인함. 작업일은 기능 구현·검수에 배정한 일수이며 회의·휴가·새 요구사항은 필요에 따라 추가함.</x:v>
      </x:c>
      <x:c r="F20" s="10" t="str">
        <x:v>확인일 2026-09-15. 적용 기간 밖으로 일정을 옮기면 해당 기간의 휴일을 추가 확인함. 작업일은 기능 구현·검수에 배정한 일수이며 회의·휴가·새 요구사항은 필요에 따라 추가함.</x:v>
      </x:c>
      <x:c r="G20" s="10" t="str">
        <x:v>확인일 2026-09-15. 적용 기간 밖으로 일정을 옮기면 해당 기간의 휴일을 추가 확인함. 작업일은 기능 구현·검수에 배정한 일수이며 회의·휴가·새 요구사항은 필요에 따라 추가함.</x:v>
      </x:c>
    </x:row>
    <x:row r="21" ht="29" customHeight="1">
      <x:c r="A21" s="26"/>
      <x:c r="B21" s="22"/>
      <x:c r="C21" s="3"/>
      <x:c r="D21" s="3"/>
      <x:c r="E21" s="10" t="str">
        <x:v>확인일 2026-09-15. 적용 기간 밖으로 일정을 옮기면 해당 기간의 휴일을 추가 확인함. 작업일은 기능 구현·검수에 배정한 일수이며 회의·휴가·새 요구사항은 필요에 따라 추가함.</x:v>
      </x:c>
      <x:c r="F21" s="10" t="str">
        <x:v>확인일 2026-09-15. 적용 기간 밖으로 일정을 옮기면 해당 기간의 휴일을 추가 확인함. 작업일은 기능 구현·검수에 배정한 일수이며 회의·휴가·새 요구사항은 필요에 따라 추가함.</x:v>
      </x:c>
      <x:c r="G21" s="10" t="str">
        <x:v>확인일 2026-09-15. 적용 기간 밖으로 일정을 옮기면 해당 기간의 휴일을 추가 확인함. 작업일은 기능 구현·검수에 배정한 일수이며 회의·휴가·새 요구사항은 필요에 따라 추가함.</x:v>
      </x:c>
    </x:row>
    <x:row r="22" ht="29" customHeight="1">
      <x:c r="A22" s="26"/>
      <x:c r="B22" s="22"/>
      <x:c r="C22" s="3"/>
      <x:c r="D22" s="3"/>
      <x:c r="E22" s="3"/>
      <x:c r="F22" s="3"/>
      <x:c r="G22" s="3"/>
    </x:row>
    <x:row r="23" ht="29" customHeight="1">
      <x:c r="A23" s="26"/>
      <x:c r="B23" s="22"/>
      <x:c r="C23" s="3"/>
      <x:c r="D23" s="3"/>
      <x:c r="E23" s="23" t="str">
        <x:v>기능 범위의 원본 계획</x:v>
      </x:c>
      <x:c r="F23" s="23" t="str">
        <x:v>기능 범위의 원본 계획</x:v>
      </x:c>
      <x:c r="G23" s="23" t="str">
        <x:v>기능 범위의 원본 계획</x:v>
      </x:c>
    </x:row>
    <x:row r="24" ht="29" customHeight="1">
      <x:c r="A24" s="26"/>
      <x:c r="B24" s="22"/>
      <x:c r="C24" s="3"/>
      <x:c r="D24" s="3"/>
      <x:c r="E24" s="3" t="str">
        <x:v>https://giry02.github.io/spotlog/spotlog-development-plan.html</x:v>
      </x:c>
      <x:c r="F24" s="3" t="str">
        <x:v>https://giry02.github.io/spotlog/spotlog-development-plan.html</x:v>
      </x:c>
      <x:c r="G24" s="3" t="str">
        <x:v>https://giry02.github.io/spotlog/spotlog-development-plan.html</x:v>
      </x:c>
    </x:row>
    <x:row r="25" ht="29" customHeight="1">
      <x:c r="A25" s="26"/>
      <x:c r="B25" s="22"/>
      <x:c r="C25" s="3"/>
      <x:c r="D25" s="3"/>
      <x:c r="E25" s="3" t="str">
        <x:v>https://giry02.github.io/spotlog/spotlog-development-plan.html</x:v>
      </x:c>
      <x:c r="F25" s="3" t="str">
        <x:v>https://giry02.github.io/spotlog/spotlog-development-plan.html</x:v>
      </x:c>
      <x:c r="G25" s="3" t="str">
        <x:v>https://giry02.github.io/spotlog/spotlog-development-plan.html</x:v>
      </x:c>
    </x:row>
    <x:row r="26" ht="29" customHeight="1">
      <x:c r="A26" s="26"/>
      <x:c r="B26" s="22"/>
      <x:c r="C26" s="3"/>
      <x:c r="D26" s="3"/>
      <x:c r="E26" s="3" t="str">
        <x:v>https://giry02.github.io/spotlog/spotlog-development-summary.html</x:v>
      </x:c>
      <x:c r="F26" s="3" t="str">
        <x:v>https://giry02.github.io/spotlog/spotlog-development-summary.html</x:v>
      </x:c>
      <x:c r="G26" s="3" t="str">
        <x:v>https://giry02.github.io/spotlog/spotlog-development-summary.html</x:v>
      </x:c>
    </x:row>
    <x:row r="27" ht="29" customHeight="1">
      <x:c r="A27" s="26"/>
      <x:c r="B27" s="22"/>
      <x:c r="C27" s="3"/>
      <x:c r="D27" s="3"/>
      <x:c r="E27" s="3" t="str">
        <x:v>https://giry02.github.io/spotlog/spotlog-development-summary.html</x:v>
      </x:c>
      <x:c r="F27" s="3" t="str">
        <x:v>https://giry02.github.io/spotlog/spotlog-development-summary.html</x:v>
      </x:c>
      <x:c r="G27" s="3" t="str">
        <x:v>https://giry02.github.io/spotlog/spotlog-development-summary.html</x:v>
      </x:c>
    </x:row>
    <x:row r="28" ht="29" customHeight="1">
      <x:c r="A28" s="26"/>
      <x:c r="B28" s="22"/>
      <x:c r="C28" s="3"/>
      <x:c r="D28" s="3"/>
      <x:c r="E28" s="3" t="str">
        <x:v>https://giry02.github.io/spotlog/spotlog-ai-guide-plan.html</x:v>
      </x:c>
      <x:c r="F28" s="3" t="str">
        <x:v>https://giry02.github.io/spotlog/spotlog-ai-guide-plan.html</x:v>
      </x:c>
      <x:c r="G28" s="3" t="str">
        <x:v>https://giry02.github.io/spotlog/spotlog-ai-guide-plan.html</x:v>
      </x:c>
    </x:row>
    <x:row r="29" ht="29" customHeight="1">
      <x:c r="A29" s="26"/>
      <x:c r="B29" s="22"/>
      <x:c r="C29" s="3"/>
      <x:c r="D29" s="3"/>
      <x:c r="E29" s="3" t="str">
        <x:v>https://giry02.github.io/spotlog/spotlog-ai-guide-plan.html</x:v>
      </x:c>
      <x:c r="F29" s="3" t="str">
        <x:v>https://giry02.github.io/spotlog/spotlog-ai-guide-plan.html</x:v>
      </x:c>
      <x:c r="G29" s="3" t="str">
        <x:v>https://giry02.github.io/spotlog/spotlog-ai-guide-plan.html</x:v>
      </x:c>
    </x:row>
    <x:row r="30" ht="29" customHeight="1">
      <x:c r="A30" s="26"/>
      <x:c r="B30" s="22"/>
      <x:c r="C30" s="3"/>
      <x:c r="D30" s="3"/>
      <x:c r="E30" s="3" t="str">
        <x:v>https://giry02.github.io/spotlog/spotlog-ai-guide-summary.html</x:v>
      </x:c>
      <x:c r="F30" s="3" t="str">
        <x:v>https://giry02.github.io/spotlog/spotlog-ai-guide-summary.html</x:v>
      </x:c>
      <x:c r="G30" s="3" t="str">
        <x:v>https://giry02.github.io/spotlog/spotlog-ai-guide-summary.html</x:v>
      </x:c>
    </x:row>
    <x:row r="31" ht="29" customHeight="1">
      <x:c r="A31" s="26"/>
      <x:c r="B31" s="22"/>
      <x:c r="C31" s="3"/>
      <x:c r="D31" s="3"/>
      <x:c r="E31" s="3" t="str">
        <x:v>https://giry02.github.io/spotlog/spotlog-ai-guide-summary.html</x:v>
      </x:c>
      <x:c r="F31" s="3" t="str">
        <x:v>https://giry02.github.io/spotlog/spotlog-ai-guide-summary.html</x:v>
      </x:c>
      <x:c r="G31" s="3" t="str">
        <x:v>https://giry02.github.io/spotlog/spotlog-ai-guide-summary.html</x:v>
      </x:c>
    </x:row>
    <x:row r="32" ht="29" customHeight="1">
      <x:c r="A32" s="26"/>
      <x:c r="B32" s="22"/>
      <x:c r="C32" s="3"/>
      <x:c r="D32" s="3"/>
      <x:c r="E32" s="3" t="str">
        <x:v>https://giry02.github.io/spotlog/spotlog-data-supply-plan.html</x:v>
      </x:c>
      <x:c r="F32" s="3" t="str">
        <x:v>https://giry02.github.io/spotlog/spotlog-data-supply-plan.html</x:v>
      </x:c>
      <x:c r="G32" s="3" t="str">
        <x:v>https://giry02.github.io/spotlog/spotlog-data-supply-plan.html</x:v>
      </x:c>
    </x:row>
    <x:row r="33" ht="29" customHeight="1">
      <x:c r="A33" s="26"/>
      <x:c r="B33" s="22"/>
      <x:c r="C33" s="3"/>
      <x:c r="D33" s="3"/>
      <x:c r="E33" s="3" t="str">
        <x:v>https://giry02.github.io/spotlog/spotlog-data-supply-plan.html</x:v>
      </x:c>
      <x:c r="F33" s="3" t="str">
        <x:v>https://giry02.github.io/spotlog/spotlog-data-supply-plan.html</x:v>
      </x:c>
      <x:c r="G33" s="3" t="str">
        <x:v>https://giry02.github.io/spotlog/spotlog-data-supply-plan.html</x:v>
      </x:c>
    </x:row>
    <x:row r="34" ht="29" customHeight="1">
      <x:c r="A34" s="26"/>
      <x:c r="B34" s="22"/>
      <x:c r="C34" s="3"/>
      <x:c r="D34" s="3"/>
      <x:c r="E34" s="3"/>
      <x:c r="F34" s="3"/>
      <x:c r="G34" s="3"/>
    </x:row>
    <x:row r="35" ht="29" customHeight="1">
      <x:c r="A35" s="26"/>
      <x:c r="B35" s="22"/>
      <x:c r="C35" s="3"/>
      <x:c r="D35" s="3"/>
      <x:c r="E35" s="3"/>
      <x:c r="F35" s="3"/>
      <x:c r="G35" s="3"/>
    </x:row>
    <x:row r="36" ht="29" customHeight="1">
      <x:c r="A36" s="26"/>
      <x:c r="B36" s="22"/>
      <x:c r="C36" s="3"/>
      <x:c r="D36" s="3"/>
      <x:c r="E36" s="3"/>
      <x:c r="F36" s="3"/>
      <x:c r="G36" s="3"/>
    </x:row>
    <x:row r="37" ht="29" customHeight="1">
      <x:c r="A37" s="26"/>
      <x:c r="B37" s="22"/>
      <x:c r="C37" s="3"/>
      <x:c r="D37" s="3"/>
      <x:c r="E37" s="3"/>
      <x:c r="F37" s="3"/>
      <x:c r="G37" s="3"/>
    </x:row>
    <x:row r="38" ht="29" customHeight="1">
      <x:c r="A38" s="26"/>
      <x:c r="B38" s="22"/>
      <x:c r="C38" s="3"/>
      <x:c r="D38" s="3"/>
      <x:c r="E38" s="3"/>
      <x:c r="F38" s="3"/>
      <x:c r="G38" s="3"/>
    </x:row>
    <x:row r="39" ht="29" customHeight="1">
      <x:c r="A39" s="26"/>
      <x:c r="B39" s="22"/>
      <x:c r="C39" s="3"/>
      <x:c r="D39" s="3"/>
      <x:c r="E39" s="3"/>
      <x:c r="F39" s="3"/>
      <x:c r="G39" s="3"/>
    </x:row>
    <x:row r="40" ht="29" customHeight="1">
      <x:c r="A40" s="26"/>
      <x:c r="B40" s="22"/>
      <x:c r="C40" s="3"/>
      <x:c r="D40" s="3"/>
      <x:c r="E40" s="3"/>
      <x:c r="F40" s="3"/>
      <x:c r="G40" s="3"/>
    </x:row>
    <x:row r="41" ht="29" customHeight="1">
      <x:c r="A41" s="26"/>
      <x:c r="B41" s="22"/>
      <x:c r="C41" s="3"/>
      <x:c r="D41" s="3"/>
      <x:c r="E41" s="3"/>
      <x:c r="F41" s="3"/>
      <x:c r="G41" s="3"/>
    </x:row>
    <x:row r="42" ht="29" customHeight="1">
      <x:c r="A42" s="26"/>
      <x:c r="B42" s="22"/>
      <x:c r="C42" s="3"/>
      <x:c r="D42" s="3"/>
      <x:c r="E42" s="3"/>
      <x:c r="F42" s="3"/>
      <x:c r="G42" s="3"/>
    </x:row>
    <x:row r="43" ht="29" customHeight="1">
      <x:c r="A43" s="26"/>
      <x:c r="B43" s="22"/>
      <x:c r="C43" s="3"/>
      <x:c r="D43" s="3"/>
      <x:c r="E43" s="3"/>
      <x:c r="F43" s="3"/>
      <x:c r="G43" s="3"/>
    </x:row>
    <x:row r="44" ht="29" customHeight="1">
      <x:c r="A44" s="26"/>
      <x:c r="B44" s="22"/>
      <x:c r="C44" s="3"/>
      <x:c r="D44" s="3"/>
      <x:c r="E44" s="3"/>
      <x:c r="F44" s="3"/>
      <x:c r="G44" s="3"/>
    </x:row>
    <x:row r="45" ht="29" customHeight="1">
      <x:c r="A45" s="26"/>
      <x:c r="B45" s="22"/>
      <x:c r="C45" s="3"/>
      <x:c r="D45" s="3"/>
      <x:c r="E45" s="3"/>
      <x:c r="F45" s="3"/>
      <x:c r="G45" s="3"/>
    </x:row>
    <x:row r="46" ht="29" customHeight="1">
      <x:c r="A46" s="26"/>
      <x:c r="B46" s="22"/>
      <x:c r="C46" s="3"/>
      <x:c r="D46" s="3"/>
      <x:c r="E46" s="3"/>
      <x:c r="F46" s="3"/>
      <x:c r="G46" s="3"/>
    </x:row>
    <x:row r="47" ht="29" customHeight="1">
      <x:c r="A47" s="26"/>
      <x:c r="B47" s="22"/>
      <x:c r="C47" s="3"/>
      <x:c r="D47" s="3"/>
      <x:c r="E47" s="3"/>
      <x:c r="F47" s="3"/>
      <x:c r="G47" s="3"/>
    </x:row>
    <x:row r="48" ht="29" customHeight="1">
      <x:c r="A48" s="26"/>
      <x:c r="B48" s="22"/>
      <x:c r="C48" s="3"/>
      <x:c r="D48" s="3"/>
      <x:c r="E48" s="3"/>
      <x:c r="F48" s="3"/>
      <x:c r="G48" s="3"/>
    </x:row>
    <x:row r="49" ht="29" customHeight="1">
      <x:c r="A49" s="26"/>
      <x:c r="B49" s="22"/>
      <x:c r="C49" s="3"/>
      <x:c r="D49" s="3"/>
      <x:c r="E49" s="3"/>
      <x:c r="F49" s="3"/>
      <x:c r="G49" s="3"/>
    </x:row>
    <x:row r="50" ht="29" customHeight="1">
      <x:c r="A50" s="26"/>
      <x:c r="B50" s="22"/>
      <x:c r="C50" s="3"/>
      <x:c r="D50" s="3"/>
      <x:c r="E50" s="3"/>
      <x:c r="F50" s="3"/>
      <x:c r="G50" s="3"/>
    </x:row>
    <x:row r="51" ht="29" customHeight="1">
      <x:c r="A51" s="26"/>
      <x:c r="B51" s="22"/>
      <x:c r="C51" s="3"/>
      <x:c r="D51" s="3"/>
      <x:c r="E51" s="3"/>
      <x:c r="F51" s="3"/>
      <x:c r="G51" s="3"/>
    </x:row>
    <x:row r="52" ht="29" customHeight="1">
      <x:c r="A52" s="26"/>
      <x:c r="B52" s="22"/>
      <x:c r="C52" s="3"/>
      <x:c r="D52" s="3"/>
      <x:c r="E52" s="3"/>
      <x:c r="F52" s="3"/>
      <x:c r="G52" s="3"/>
    </x:row>
    <x:row r="53" ht="29" customHeight="1">
      <x:c r="A53" s="26"/>
      <x:c r="B53" s="22"/>
      <x:c r="C53" s="3"/>
      <x:c r="D53" s="3"/>
      <x:c r="E53" s="3"/>
      <x:c r="F53" s="3"/>
      <x:c r="G53" s="3"/>
    </x:row>
    <x:row r="54" ht="29" customHeight="1">
      <x:c r="A54" s="26"/>
      <x:c r="B54" s="22"/>
      <x:c r="C54" s="3"/>
      <x:c r="D54" s="3"/>
      <x:c r="E54" s="3"/>
      <x:c r="F54" s="3"/>
      <x:c r="G54" s="3"/>
    </x:row>
    <x:row r="55" ht="29" customHeight="1">
      <x:c r="A55" s="26"/>
      <x:c r="B55" s="22"/>
      <x:c r="C55" s="3"/>
      <x:c r="D55" s="3"/>
      <x:c r="E55" s="3"/>
      <x:c r="F55" s="3"/>
      <x:c r="G55" s="3"/>
    </x:row>
    <x:row r="56" ht="29" customHeight="1">
      <x:c r="A56" s="26"/>
      <x:c r="B56" s="22"/>
      <x:c r="C56" s="3"/>
      <x:c r="D56" s="3"/>
      <x:c r="E56" s="3"/>
      <x:c r="F56" s="3"/>
      <x:c r="G56" s="3"/>
    </x:row>
    <x:row r="57" ht="29" customHeight="1">
      <x:c r="A57" s="26"/>
      <x:c r="B57" s="22"/>
      <x:c r="C57" s="3"/>
      <x:c r="D57" s="3"/>
      <x:c r="E57" s="3"/>
      <x:c r="F57" s="3"/>
      <x:c r="G57" s="3"/>
    </x:row>
    <x:row r="58" ht="29" customHeight="1">
      <x:c r="A58" s="26"/>
      <x:c r="B58" s="22"/>
      <x:c r="C58" s="3"/>
      <x:c r="D58" s="3"/>
      <x:c r="E58" s="3"/>
      <x:c r="F58" s="3"/>
      <x:c r="G58" s="3"/>
    </x:row>
    <x:row r="59" ht="29" customHeight="1">
      <x:c r="A59" s="26"/>
      <x:c r="B59" s="22"/>
      <x:c r="C59" s="3"/>
      <x:c r="D59" s="3"/>
      <x:c r="E59" s="3"/>
      <x:c r="F59" s="3"/>
      <x:c r="G59" s="3"/>
    </x:row>
    <x:row r="60" ht="29" customHeight="1">
      <x:c r="A60" s="26"/>
      <x:c r="B60" s="22"/>
      <x:c r="C60" s="3"/>
      <x:c r="D60" s="3"/>
      <x:c r="E60" s="3"/>
      <x:c r="F60" s="3"/>
      <x:c r="G60" s="3"/>
    </x:row>
    <x:row r="61" ht="29" customHeight="1">
      <x:c r="A61" s="26"/>
      <x:c r="B61" s="22"/>
      <x:c r="C61" s="3"/>
      <x:c r="D61" s="3"/>
      <x:c r="E61" s="3"/>
      <x:c r="F61" s="3"/>
      <x:c r="G61" s="3"/>
    </x:row>
    <x:row r="62" ht="29" customHeight="1">
      <x:c r="A62" s="26"/>
      <x:c r="B62" s="22"/>
      <x:c r="C62" s="3"/>
      <x:c r="D62" s="3"/>
      <x:c r="E62" s="3"/>
      <x:c r="F62" s="3"/>
      <x:c r="G62" s="3"/>
    </x:row>
    <x:row r="63" ht="29" customHeight="1">
      <x:c r="A63" s="26"/>
      <x:c r="B63" s="22"/>
      <x:c r="C63" s="3"/>
      <x:c r="D63" s="3"/>
      <x:c r="E63" s="3"/>
      <x:c r="F63" s="3"/>
      <x:c r="G63" s="3"/>
    </x:row>
    <x:row r="64" ht="29" customHeight="1">
      <x:c r="A64" s="26"/>
      <x:c r="B64" s="22"/>
      <x:c r="C64" s="3"/>
      <x:c r="D64" s="3"/>
      <x:c r="E64" s="3"/>
      <x:c r="F64" s="3"/>
      <x:c r="G64" s="3"/>
    </x:row>
    <x:row r="65" ht="29" customHeight="1">
      <x:c r="A65" s="26"/>
      <x:c r="B65" s="22"/>
      <x:c r="C65" s="3"/>
      <x:c r="D65" s="3"/>
      <x:c r="E65" s="3"/>
      <x:c r="F65" s="3"/>
      <x:c r="G65" s="3"/>
    </x:row>
    <x:row r="66" ht="29" customHeight="1">
      <x:c r="A66" s="26"/>
      <x:c r="B66" s="22"/>
      <x:c r="C66" s="3"/>
      <x:c r="D66" s="3"/>
      <x:c r="E66" s="3"/>
      <x:c r="F66" s="3"/>
      <x:c r="G66" s="3"/>
    </x:row>
    <x:row r="67" ht="29" customHeight="1">
      <x:c r="A67" s="26"/>
      <x:c r="B67" s="22"/>
      <x:c r="C67" s="3"/>
      <x:c r="D67" s="3"/>
      <x:c r="E67" s="3"/>
      <x:c r="F67" s="3"/>
      <x:c r="G67" s="3"/>
    </x:row>
    <x:row r="68" ht="29" customHeight="1">
      <x:c r="A68" s="26"/>
      <x:c r="B68" s="22"/>
      <x:c r="C68" s="3"/>
      <x:c r="D68" s="3"/>
      <x:c r="E68" s="3"/>
      <x:c r="F68" s="3"/>
      <x:c r="G68" s="3"/>
    </x:row>
    <x:row r="69" ht="29" customHeight="1">
      <x:c r="A69" s="26"/>
      <x:c r="B69" s="22"/>
      <x:c r="C69" s="3"/>
      <x:c r="D69" s="3"/>
      <x:c r="E69" s="3"/>
      <x:c r="F69" s="3"/>
      <x:c r="G69" s="3"/>
    </x:row>
    <x:row r="70" ht="29" customHeight="1">
      <x:c r="A70" s="26"/>
      <x:c r="B70" s="22"/>
      <x:c r="C70" s="3"/>
      <x:c r="D70" s="3"/>
      <x:c r="E70" s="3"/>
      <x:c r="F70" s="3"/>
      <x:c r="G70" s="3"/>
    </x:row>
    <x:row r="71" ht="29" customHeight="1">
      <x:c r="A71" s="26"/>
      <x:c r="B71" s="22"/>
      <x:c r="C71" s="3"/>
      <x:c r="D71" s="3"/>
      <x:c r="E71" s="3"/>
      <x:c r="F71" s="3"/>
      <x:c r="G71" s="3"/>
    </x:row>
    <x:row r="72" ht="29" customHeight="1">
      <x:c r="A72" s="26"/>
      <x:c r="B72" s="22"/>
      <x:c r="C72" s="3"/>
      <x:c r="D72" s="3"/>
      <x:c r="E72" s="3"/>
      <x:c r="F72" s="3"/>
      <x:c r="G72" s="3"/>
    </x:row>
    <x:row r="73" ht="29" customHeight="1">
      <x:c r="A73" s="26"/>
      <x:c r="B73" s="22"/>
      <x:c r="C73" s="3"/>
      <x:c r="D73" s="3"/>
      <x:c r="E73" s="3"/>
      <x:c r="F73" s="3"/>
      <x:c r="G73" s="3"/>
    </x:row>
    <x:row r="74" ht="29" customHeight="1">
      <x:c r="A74" s="26"/>
      <x:c r="B74" s="22"/>
      <x:c r="C74" s="3"/>
      <x:c r="D74" s="3"/>
      <x:c r="E74" s="3"/>
      <x:c r="F74" s="3"/>
      <x:c r="G74" s="3"/>
    </x:row>
    <x:row r="75" ht="29" customHeight="1">
      <x:c r="A75" s="26"/>
      <x:c r="B75" s="22"/>
      <x:c r="C75" s="3"/>
      <x:c r="D75" s="3"/>
      <x:c r="E75" s="3"/>
      <x:c r="F75" s="3"/>
      <x:c r="G75" s="3"/>
    </x:row>
    <x:row r="76" ht="29" customHeight="1">
      <x:c r="A76" s="26"/>
      <x:c r="B76" s="22"/>
      <x:c r="C76" s="3"/>
      <x:c r="D76" s="3"/>
      <x:c r="E76" s="3"/>
      <x:c r="F76" s="3"/>
      <x:c r="G76" s="3"/>
    </x:row>
    <x:row r="77" ht="29" customHeight="1">
      <x:c r="A77" s="26"/>
      <x:c r="B77" s="22"/>
      <x:c r="C77" s="3"/>
      <x:c r="D77" s="3"/>
      <x:c r="E77" s="3"/>
      <x:c r="F77" s="3"/>
      <x:c r="G77" s="3"/>
    </x:row>
    <x:row r="78" ht="29" customHeight="1">
      <x:c r="A78" s="26"/>
      <x:c r="B78" s="22"/>
      <x:c r="C78" s="3"/>
      <x:c r="D78" s="3"/>
      <x:c r="E78" s="3"/>
      <x:c r="F78" s="3"/>
      <x:c r="G78" s="3"/>
    </x:row>
    <x:row r="79" ht="29" customHeight="1">
      <x:c r="A79" s="26"/>
      <x:c r="B79" s="22"/>
      <x:c r="C79" s="3"/>
      <x:c r="D79" s="3"/>
      <x:c r="E79" s="3"/>
      <x:c r="F79" s="3"/>
      <x:c r="G79" s="3"/>
    </x:row>
    <x:row r="80" ht="29" customHeight="1">
      <x:c r="A80" s="26"/>
      <x:c r="B80" s="22"/>
      <x:c r="C80" s="3"/>
      <x:c r="D80" s="3"/>
      <x:c r="E80" s="3"/>
      <x:c r="F80" s="3"/>
      <x:c r="G80" s="3"/>
    </x:row>
    <x:row r="81" ht="29" customHeight="1">
      <x:c r="A81" s="26"/>
      <x:c r="B81" s="22"/>
      <x:c r="C81" s="3"/>
      <x:c r="D81" s="3"/>
      <x:c r="E81" s="3"/>
      <x:c r="F81" s="3"/>
      <x:c r="G81" s="3"/>
    </x:row>
    <x:row r="82" ht="29" customHeight="1">
      <x:c r="A82" s="26"/>
      <x:c r="B82" s="22"/>
      <x:c r="C82" s="3"/>
      <x:c r="D82" s="3"/>
      <x:c r="E82" s="3"/>
      <x:c r="F82" s="3"/>
      <x:c r="G82" s="3"/>
    </x:row>
    <x:row r="83" ht="29" customHeight="1">
      <x:c r="A83" s="26"/>
      <x:c r="B83" s="22"/>
      <x:c r="C83" s="3"/>
      <x:c r="D83" s="3"/>
      <x:c r="E83" s="3"/>
      <x:c r="F83" s="3"/>
      <x:c r="G83" s="3"/>
    </x:row>
    <x:row r="84" ht="29" customHeight="1">
      <x:c r="A84" s="26"/>
      <x:c r="B84" s="22"/>
      <x:c r="C84" s="3"/>
      <x:c r="D84" s="3"/>
      <x:c r="E84" s="3"/>
      <x:c r="F84" s="3"/>
      <x:c r="G84" s="3"/>
    </x:row>
    <x:row r="85" ht="29" customHeight="1">
      <x:c r="A85" s="26"/>
      <x:c r="B85" s="22"/>
      <x:c r="C85" s="3"/>
      <x:c r="D85" s="3"/>
      <x:c r="E85" s="3"/>
      <x:c r="F85" s="3"/>
      <x:c r="G85" s="3"/>
    </x:row>
    <x:row r="86" ht="29" customHeight="1">
      <x:c r="A86" s="26"/>
      <x:c r="B86" s="22"/>
      <x:c r="C86" s="3"/>
      <x:c r="D86" s="3"/>
      <x:c r="E86" s="3"/>
      <x:c r="F86" s="3"/>
      <x:c r="G86" s="3"/>
    </x:row>
    <x:row r="87" ht="29" customHeight="1">
      <x:c r="A87" s="26"/>
      <x:c r="B87" s="22"/>
      <x:c r="C87" s="3"/>
      <x:c r="D87" s="3"/>
      <x:c r="E87" s="3"/>
      <x:c r="F87" s="3"/>
      <x:c r="G87" s="3"/>
    </x:row>
    <x:row r="88" ht="29" customHeight="1">
      <x:c r="A88" s="26"/>
      <x:c r="B88" s="22"/>
      <x:c r="C88" s="3"/>
      <x:c r="D88" s="3"/>
      <x:c r="E88" s="3"/>
      <x:c r="F88" s="3"/>
      <x:c r="G88" s="3"/>
    </x:row>
    <x:row r="89" ht="29" customHeight="1">
      <x:c r="A89" s="26"/>
      <x:c r="B89" s="22"/>
      <x:c r="C89" s="3"/>
      <x:c r="D89" s="3"/>
      <x:c r="E89" s="3"/>
      <x:c r="F89" s="3"/>
      <x:c r="G89" s="3"/>
    </x:row>
    <x:row r="90" ht="29" customHeight="1">
      <x:c r="A90" s="26"/>
      <x:c r="B90" s="22"/>
      <x:c r="C90" s="3"/>
      <x:c r="D90" s="3"/>
      <x:c r="E90" s="3"/>
      <x:c r="F90" s="3"/>
      <x:c r="G90" s="3"/>
    </x:row>
    <x:row r="91" ht="29" customHeight="1">
      <x:c r="A91" s="26"/>
      <x:c r="B91" s="22"/>
      <x:c r="C91" s="3"/>
      <x:c r="D91" s="3"/>
      <x:c r="E91" s="3"/>
      <x:c r="F91" s="3"/>
      <x:c r="G91" s="3"/>
    </x:row>
    <x:row r="92" ht="29" customHeight="1">
      <x:c r="A92" s="26"/>
      <x:c r="B92" s="22"/>
      <x:c r="C92" s="3"/>
      <x:c r="D92" s="3"/>
      <x:c r="E92" s="3"/>
      <x:c r="F92" s="3"/>
      <x:c r="G92" s="3"/>
    </x:row>
    <x:row r="93" ht="29" customHeight="1">
      <x:c r="A93" s="26"/>
      <x:c r="B93" s="22"/>
      <x:c r="C93" s="3"/>
      <x:c r="D93" s="3"/>
      <x:c r="E93" s="3"/>
      <x:c r="F93" s="3"/>
      <x:c r="G93" s="3"/>
    </x:row>
    <x:row r="94" ht="29" customHeight="1">
      <x:c r="A94" s="26"/>
      <x:c r="B94" s="22"/>
      <x:c r="C94" s="3"/>
      <x:c r="D94" s="3"/>
      <x:c r="E94" s="3"/>
      <x:c r="F94" s="3"/>
      <x:c r="G94" s="3"/>
    </x:row>
    <x:row r="95" ht="29" customHeight="1">
      <x:c r="A95" s="26"/>
      <x:c r="B95" s="22"/>
      <x:c r="C95" s="3"/>
      <x:c r="D95" s="3"/>
      <x:c r="E95" s="3"/>
      <x:c r="F95" s="3"/>
      <x:c r="G95" s="3"/>
    </x:row>
    <x:row r="96" ht="29" customHeight="1">
      <x:c r="A96" s="26"/>
      <x:c r="B96" s="22"/>
      <x:c r="C96" s="3"/>
      <x:c r="D96" s="3"/>
      <x:c r="E96" s="3"/>
      <x:c r="F96" s="3"/>
      <x:c r="G96" s="3"/>
    </x:row>
    <x:row r="97" ht="29" customHeight="1">
      <x:c r="A97" s="26"/>
      <x:c r="B97" s="22"/>
      <x:c r="C97" s="3"/>
      <x:c r="D97" s="3"/>
      <x:c r="E97" s="3"/>
      <x:c r="F97" s="3"/>
      <x:c r="G97" s="3"/>
    </x:row>
    <x:row r="98" ht="29" customHeight="1">
      <x:c r="A98" s="26"/>
      <x:c r="B98" s="22"/>
      <x:c r="C98" s="3"/>
      <x:c r="D98" s="3"/>
      <x:c r="E98" s="3"/>
      <x:c r="F98" s="3"/>
      <x:c r="G98" s="3"/>
    </x:row>
    <x:row r="99" ht="29" customHeight="1">
      <x:c r="A99" s="26"/>
      <x:c r="B99" s="22"/>
      <x:c r="C99" s="3"/>
      <x:c r="D99" s="3"/>
      <x:c r="E99" s="3"/>
      <x:c r="F99" s="3"/>
      <x:c r="G99" s="3"/>
    </x:row>
    <x:row r="100" ht="29" customHeight="1">
      <x:c r="A100" s="26"/>
      <x:c r="B100" s="22"/>
      <x:c r="C100" s="3"/>
      <x:c r="D100" s="3"/>
      <x:c r="E100" s="3"/>
      <x:c r="F100" s="3"/>
      <x:c r="G100" s="3"/>
    </x:row>
    <x:row r="101" ht="29" customHeight="1">
      <x:c r="A101" s="26"/>
      <x:c r="B101" s="22"/>
      <x:c r="C101" s="3"/>
      <x:c r="D101" s="3"/>
      <x:c r="E101" s="3"/>
      <x:c r="F101" s="3"/>
      <x:c r="G101" s="3"/>
    </x:row>
    <x:row r="102" ht="29" customHeight="1">
      <x:c r="A102" s="26"/>
      <x:c r="B102" s="22"/>
      <x:c r="C102" s="3"/>
      <x:c r="D102" s="3"/>
      <x:c r="E102" s="3"/>
      <x:c r="F102" s="3"/>
      <x:c r="G102" s="3"/>
    </x:row>
    <x:row r="103" ht="29" customHeight="1">
      <x:c r="A103" s="26"/>
      <x:c r="B103" s="22"/>
      <x:c r="C103" s="3"/>
      <x:c r="D103" s="3"/>
      <x:c r="E103" s="3"/>
      <x:c r="F103" s="3"/>
      <x:c r="G103" s="3"/>
    </x:row>
    <x:row r="104" ht="29" customHeight="1">
      <x:c r="A104" s="26"/>
      <x:c r="B104" s="22"/>
      <x:c r="C104" s="3"/>
      <x:c r="D104" s="3"/>
      <x:c r="E104" s="3"/>
      <x:c r="F104" s="3"/>
      <x:c r="G104" s="3"/>
    </x:row>
  </x:sheetData>
  <x:mergeCells>
    <x:mergeCell ref="A1:G2"/>
    <x:mergeCell ref="A3:G3"/>
    <x:mergeCell ref="E4:G4"/>
    <x:mergeCell ref="E5:G8"/>
    <x:mergeCell ref="E10:G10"/>
    <x:mergeCell ref="E11:G13"/>
    <x:mergeCell ref="E14:G16"/>
    <x:mergeCell ref="E18:G21"/>
    <x:mergeCell ref="E23:G23"/>
    <x:mergeCell ref="E24:G25"/>
    <x:mergeCell ref="E26:G27"/>
    <x:mergeCell ref="E28:G29"/>
    <x:mergeCell ref="E30:G31"/>
    <x:mergeCell ref="E32:G33"/>
  </x:mergeCells>
  <x:pageMargins left="0.7" right="0.7" top="0.75" bottom="0.75" header="0.3" footer="0.3"/>
</x:worksheet>
</file>